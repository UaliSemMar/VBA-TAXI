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gasto\OneDrive\Рабочий стол\VBA\"/>
    </mc:Choice>
  </mc:AlternateContent>
  <xr:revisionPtr revIDLastSave="0" documentId="13_ncr:1_{E53E4DD6-08CD-4333-8007-395415B8FEFA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Главная страницы" sheetId="5" r:id="rId1"/>
    <sheet name="Заказы" sheetId="1" r:id="rId2"/>
    <sheet name="Водители" sheetId="3" r:id="rId3"/>
    <sheet name="Операторы" sheetId="4" r:id="rId4"/>
    <sheet name="Диаграмма заказов" sheetId="6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1" l="1"/>
  <c r="F9" i="3"/>
  <c r="F8" i="3"/>
  <c r="F7" i="3"/>
  <c r="F6" i="3"/>
  <c r="F5" i="3"/>
  <c r="F4" i="3"/>
  <c r="F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M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795585-FE97-4AEB-8953-5A1A54992664}" keepAlive="1" name="Запрос — Drivers" description="Соединение с запросом &quot;Drivers&quot; в книге." type="5" refreshedVersion="7" background="1" saveData="1">
    <dbPr connection="Provider=Microsoft.Mashup.OleDb.1;Data Source=$Workbook$;Location=Drivers;Extended Properties=&quot;&quot;" command="SELECT * FROM [Drivers]"/>
  </connection>
  <connection id="2" xr16:uid="{9B031DC2-4E55-4AAB-8973-F49ABD6A5494}" keepAlive="1" name="Запрос — Operators" description="Соединение с запросом &quot;Operators&quot; в книге." type="5" refreshedVersion="7" background="1" saveData="1">
    <dbPr connection="Provider=Microsoft.Mashup.OleDb.1;Data Source=$Workbook$;Location=Operators;Extended Properties=&quot;&quot;" command="SELECT * FROM [Operators]"/>
  </connection>
</connections>
</file>

<file path=xl/sharedStrings.xml><?xml version="1.0" encoding="utf-8"?>
<sst xmlns="http://schemas.openxmlformats.org/spreadsheetml/2006/main" count="337" uniqueCount="131">
  <si>
    <t>ID</t>
  </si>
  <si>
    <t xml:space="preserve">Заказы на </t>
  </si>
  <si>
    <t>Откуда-куда</t>
  </si>
  <si>
    <t>Клиент</t>
  </si>
  <si>
    <t>Исполнитель +авто</t>
  </si>
  <si>
    <t>ФИО</t>
  </si>
  <si>
    <t>Номер телефона</t>
  </si>
  <si>
    <t>Номер автомобиля</t>
  </si>
  <si>
    <t>Марка автомобиля</t>
  </si>
  <si>
    <t>ИИН</t>
  </si>
  <si>
    <t>Цена заказа</t>
  </si>
  <si>
    <t>Статус заказа</t>
  </si>
  <si>
    <t>Рахметов Мади Маратович</t>
  </si>
  <si>
    <t xml:space="preserve">Оразкенов Олжас </t>
  </si>
  <si>
    <t>ФИ</t>
  </si>
  <si>
    <t>Чучман Артем</t>
  </si>
  <si>
    <t>Жамбыла, 5 - Пушкина,14</t>
  </si>
  <si>
    <t>Оразкенов Олжас + ваз2114</t>
  </si>
  <si>
    <t>Выполнен</t>
  </si>
  <si>
    <t>Муканова, 55 - Шухова, 18</t>
  </si>
  <si>
    <t>Дейнеко Радмир</t>
  </si>
  <si>
    <t>Мусин Уалихан + audi80</t>
  </si>
  <si>
    <t>Потанина, 6 - Потанина, 61А</t>
  </si>
  <si>
    <t>Баян Азат</t>
  </si>
  <si>
    <t>Головнев Владимир + lexus CT</t>
  </si>
  <si>
    <t>Сатпаева, 48 - Шухова, 18</t>
  </si>
  <si>
    <t>Кенжеев Баян</t>
  </si>
  <si>
    <t>Амангельдинов Султан + audi100</t>
  </si>
  <si>
    <t>Отменен</t>
  </si>
  <si>
    <t>Токсан би, 21Д - Сатпаева, 48</t>
  </si>
  <si>
    <t>Маку Думан</t>
  </si>
  <si>
    <t>Диас Даулетов + kia opirus</t>
  </si>
  <si>
    <t>Валиханова, 31 - Пушкина,14</t>
  </si>
  <si>
    <t>Чупчиков Никата</t>
  </si>
  <si>
    <t>Шухова, 18 - Жамбыла, 54</t>
  </si>
  <si>
    <t>Тулинов Анатолий</t>
  </si>
  <si>
    <t>Букетова, 53 -  Чкалова 48</t>
  </si>
  <si>
    <t>Тотмянин Алекслей</t>
  </si>
  <si>
    <t>Сатпаева, 48 - Муканова, 55</t>
  </si>
  <si>
    <t>Зайкина Лаура</t>
  </si>
  <si>
    <t xml:space="preserve"> Пушкина,14 - Букетова, 4</t>
  </si>
  <si>
    <t>Потанина, 61 - Муканова, 5</t>
  </si>
  <si>
    <t>Интернационнальная, 9 -  Батыр Баяна, 7</t>
  </si>
  <si>
    <t>Башенов Дидар</t>
  </si>
  <si>
    <t>177AVD15kz</t>
  </si>
  <si>
    <t xml:space="preserve">Мусин Уалихан </t>
  </si>
  <si>
    <t>369СHA15kz</t>
  </si>
  <si>
    <t>audi80</t>
  </si>
  <si>
    <t xml:space="preserve">Головнев Владимир </t>
  </si>
  <si>
    <t>251ASD15kz</t>
  </si>
  <si>
    <t>lexus CT</t>
  </si>
  <si>
    <t xml:space="preserve">Амангельдинов Султан  </t>
  </si>
  <si>
    <t>284WQF15kz</t>
  </si>
  <si>
    <t>audi100</t>
  </si>
  <si>
    <t xml:space="preserve">Диас Даулетов </t>
  </si>
  <si>
    <t>181AWQ15kz</t>
  </si>
  <si>
    <t xml:space="preserve"> kia opirus</t>
  </si>
  <si>
    <t>Мусин Уалихан Русланович</t>
  </si>
  <si>
    <t>login</t>
  </si>
  <si>
    <t>password</t>
  </si>
  <si>
    <t>madi</t>
  </si>
  <si>
    <t>uali</t>
  </si>
  <si>
    <t>Шухова, 18 - Жамбыла, 55</t>
  </si>
  <si>
    <t>Мусин Уалихан + audi81</t>
  </si>
  <si>
    <t>Шухова, 18 - Жамбыла, 56</t>
  </si>
  <si>
    <t>Мусин Уалихан + audi82</t>
  </si>
  <si>
    <t>Шухова, 18 - Жамбыла, 57</t>
  </si>
  <si>
    <t>Мусин Уалихан + audi83</t>
  </si>
  <si>
    <t>Шухова, 18 - Жамбыла, 58</t>
  </si>
  <si>
    <t>Мусин Уалихан + audi84</t>
  </si>
  <si>
    <t>Жамбыла, 5 - Пушкина,15</t>
  </si>
  <si>
    <t>Оразкенов Олжас + ваз2115</t>
  </si>
  <si>
    <t>Муканова, 55 - Шухова, 19</t>
  </si>
  <si>
    <t>Сатпаева, 48 - Шухова, 19</t>
  </si>
  <si>
    <t>Амангельдинов Султан + audi101</t>
  </si>
  <si>
    <t>Токсан би, 21Д - Сатпаева, 49</t>
  </si>
  <si>
    <t>Валиханова, 31 - Пушкина,15</t>
  </si>
  <si>
    <t>Букетова, 53 -  Чкалова 49</t>
  </si>
  <si>
    <t>Сатпаева, 48 - Муканова, 56</t>
  </si>
  <si>
    <t xml:space="preserve"> Пушкина,14 - Букетова, 5</t>
  </si>
  <si>
    <t>Потанина, 61 - Муканова, 6</t>
  </si>
  <si>
    <t>Интернационнальная, 9 -  Батыр Баяна, 8</t>
  </si>
  <si>
    <t>Жамбыла, 5 - Пушкина,16</t>
  </si>
  <si>
    <t>Оразкенов Олжас + ваз2116</t>
  </si>
  <si>
    <t>Муканова, 55 - Шухова, 20</t>
  </si>
  <si>
    <t>Сатпаева, 48 - Шухова, 20</t>
  </si>
  <si>
    <t>Амангельдинов Султан + audi102</t>
  </si>
  <si>
    <t>Токсан би, 21Д - Сатпаева, 50</t>
  </si>
  <si>
    <t>Валиханова, 31 - Пушкина,16</t>
  </si>
  <si>
    <t>Букетова, 53 -  Чкалова 50</t>
  </si>
  <si>
    <t>Сатпаева, 48 - Муканова, 57</t>
  </si>
  <si>
    <t xml:space="preserve"> Пушкина,14 - Букетова, 6</t>
  </si>
  <si>
    <t>Потанина, 61 - Муканова, 7</t>
  </si>
  <si>
    <t>Интернационнальная, 9 -  Батыр Баяна, 9</t>
  </si>
  <si>
    <t>Жамбыла, 5 - Пушкина,17</t>
  </si>
  <si>
    <t>Оразкенов Олжас + ваз2117</t>
  </si>
  <si>
    <t>Муканова, 55 - Шухова, 21</t>
  </si>
  <si>
    <t>Сатпаева, 48 - Шухова, 21</t>
  </si>
  <si>
    <t>Амангельдинов Султан + audi103</t>
  </si>
  <si>
    <t>Токсан би, 21Д - Сатпаева, 51</t>
  </si>
  <si>
    <t>Валиханова, 31 - Пушкина,17</t>
  </si>
  <si>
    <t>Букетова, 53 -  Чкалова 51</t>
  </si>
  <si>
    <t>Сатпаева, 48 - Муканова, 58</t>
  </si>
  <si>
    <t xml:space="preserve"> Пушкина,14 - Букетова, 7</t>
  </si>
  <si>
    <t>Потанина, 61 - Муканова, 8</t>
  </si>
  <si>
    <t>Интернационнальная, 9 -  Батыр Баяна, 10</t>
  </si>
  <si>
    <t>Жамбыла, 5 - Пушкина,18</t>
  </si>
  <si>
    <t>Оразкенов Олжас + ваз2118</t>
  </si>
  <si>
    <t>Муканова, 55 - Шухова, 22</t>
  </si>
  <si>
    <t>Сатпаева, 48 - Шухова, 22</t>
  </si>
  <si>
    <t>Амангельдинов Султан + audi104</t>
  </si>
  <si>
    <t>Токсан би, 21Д - Сатпаева, 52</t>
  </si>
  <si>
    <t>Валиханова, 31 - Пушкина,18</t>
  </si>
  <si>
    <t>Букетова, 53 -  Чкалова 52</t>
  </si>
  <si>
    <t>123AWD15kz</t>
  </si>
  <si>
    <t>532HTR15kz</t>
  </si>
  <si>
    <t>777NIG15kz</t>
  </si>
  <si>
    <t>lada vesta</t>
  </si>
  <si>
    <t>Lada2114</t>
  </si>
  <si>
    <t>audi A6</t>
  </si>
  <si>
    <t>toyota alphard</t>
  </si>
  <si>
    <t>Карим Алибек +  lada vesta</t>
  </si>
  <si>
    <t>Шамшит Ансаган + toyota alphard</t>
  </si>
  <si>
    <t>Марам Арсен + audi A6</t>
  </si>
  <si>
    <t xml:space="preserve">Карим Алибек </t>
  </si>
  <si>
    <t xml:space="preserve">Шамшит Ансаган </t>
  </si>
  <si>
    <t xml:space="preserve">Марам Арсен </t>
  </si>
  <si>
    <t>Статистика</t>
  </si>
  <si>
    <t>Количество выполненных заказов</t>
  </si>
  <si>
    <t>04.28.2023</t>
  </si>
  <si>
    <t>Количество по полю Статус заказа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</si>
</sst>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₸-43F]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sz val="8"/>
      <name val="Calibri"/>
      <family val="2"/>
      <scheme val="minor"/>
    </font>
    <font>
      <sz val="12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/>
    <xf numFmtId="0" fontId="1" fillId="0" borderId="0" xfId="0" applyFont="1"/>
    <xf numFmtId="0" fontId="1" fillId="0" borderId="0" xfId="0" applyFont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8" xfId="0" applyFont="1" applyBorder="1"/>
    <xf numFmtId="14" fontId="1" fillId="0" borderId="1" xfId="0" applyNumberFormat="1" applyFont="1" applyBorder="1"/>
    <xf numFmtId="164" fontId="1" fillId="0" borderId="1" xfId="0" applyNumberFormat="1" applyFont="1" applyBorder="1" applyAlignment="1">
      <alignment horizontal="right"/>
    </xf>
    <xf numFmtId="164" fontId="1" fillId="0" borderId="1" xfId="0" applyNumberFormat="1" applyFont="1" applyBorder="1"/>
    <xf numFmtId="164" fontId="1" fillId="0" borderId="7" xfId="0" applyNumberFormat="1" applyFont="1" applyBorder="1"/>
    <xf numFmtId="0" fontId="1" fillId="3" borderId="1" xfId="0" applyFont="1" applyFill="1" applyBorder="1"/>
    <xf numFmtId="0" fontId="1" fillId="0" borderId="1" xfId="0" applyNumberFormat="1" applyFont="1" applyBorder="1"/>
    <xf numFmtId="0" fontId="1" fillId="0" borderId="9" xfId="0" applyFont="1" applyBorder="1"/>
    <xf numFmtId="0" fontId="1" fillId="0" borderId="7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Fill="1" applyBorder="1"/>
    <xf numFmtId="0" fontId="1" fillId="0" borderId="6" xfId="0" applyFont="1" applyBorder="1"/>
    <xf numFmtId="0" fontId="1" fillId="3" borderId="7" xfId="0" applyFont="1" applyFill="1" applyBorder="1"/>
    <xf numFmtId="0" fontId="0" fillId="4" borderId="0" xfId="0" applyFont="1" applyFill="1" applyBorder="1"/>
    <xf numFmtId="0" fontId="0" fillId="0" borderId="0" xfId="0" pivotButton="1"/>
    <xf numFmtId="0" fontId="0" fillId="0" borderId="0" xfId="0" applyNumberFormat="1"/>
  </cellXfs>
  <cellStyles count="1">
    <cellStyle name="Обычный" xfId="0" builtinId="0"/>
  </cellStyles>
  <dxfs count="34"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numFmt numFmtId="164" formatCode="#,##0.00\ [$₸-43F]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Водители!$F$1</c:f>
              <c:strCache>
                <c:ptCount val="1"/>
                <c:pt idx="0">
                  <c:v>Количество выполненных заказов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Водители!$B$2:$B$9</c:f>
              <c:strCache>
                <c:ptCount val="8"/>
                <c:pt idx="0">
                  <c:v>Оразкенов Олжас </c:v>
                </c:pt>
                <c:pt idx="1">
                  <c:v>Мусин Уалихан </c:v>
                </c:pt>
                <c:pt idx="2">
                  <c:v>Головнев Владимир </c:v>
                </c:pt>
                <c:pt idx="3">
                  <c:v>Амангельдинов Султан  </c:v>
                </c:pt>
                <c:pt idx="4">
                  <c:v>Диас Даулетов </c:v>
                </c:pt>
                <c:pt idx="5">
                  <c:v>Карим Алибек </c:v>
                </c:pt>
                <c:pt idx="6">
                  <c:v>Шамшит Ансаган </c:v>
                </c:pt>
                <c:pt idx="7">
                  <c:v>Марам Арсен </c:v>
                </c:pt>
              </c:strCache>
            </c:strRef>
          </c:cat>
          <c:val>
            <c:numRef>
              <c:f>Водители!$F$2:$F$9</c:f>
              <c:numCache>
                <c:formatCode>General</c:formatCode>
                <c:ptCount val="8"/>
                <c:pt idx="0">
                  <c:v>3</c:v>
                </c:pt>
                <c:pt idx="1">
                  <c:v>2</c:v>
                </c:pt>
                <c:pt idx="2">
                  <c:v>12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A-42D6-AA4D-EDC7F2140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1832415"/>
        <c:axId val="1561829087"/>
      </c:barChart>
      <c:catAx>
        <c:axId val="15618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29087"/>
        <c:crosses val="autoZero"/>
        <c:auto val="1"/>
        <c:lblAlgn val="ctr"/>
        <c:lblOffset val="100"/>
        <c:noMultiLvlLbl val="0"/>
      </c:catAx>
      <c:valAx>
        <c:axId val="1561829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183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TAXI.xlsm]Диаграмма заказов!Сводная таблица5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по полю Статус заказа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'Диаграмма заказов'!$B$3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'Диаграмма заказов'!$A$4:$A$5</c:f>
              <c:strCache>
                <c:ptCount val="2"/>
                <c:pt idx="0">
                  <c:v>Выполнен</c:v>
                </c:pt>
                <c:pt idx="1">
                  <c:v>Отменен</c:v>
                </c:pt>
              </c:strCache>
            </c:strRef>
          </c:cat>
          <c:val>
            <c:numRef>
              <c:f>'Диаграмма заказов'!$B$4:$B$5</c:f>
              <c:numCache>
                <c:formatCode>General</c:formatCode>
                <c:ptCount val="2"/>
                <c:pt idx="0">
                  <c:v>55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0-4C9C-B55F-899BCF7A3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6435039"/>
        <c:axId val="1196438367"/>
      </c:barChart>
      <c:catAx>
        <c:axId val="119643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438367"/>
        <c:crosses val="autoZero"/>
        <c:auto val="1"/>
        <c:lblAlgn val="ctr"/>
        <c:lblOffset val="100"/>
        <c:noMultiLvlLbl val="0"/>
      </c:catAx>
      <c:valAx>
        <c:axId val="119643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435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114300</xdr:rowOff>
        </xdr:from>
        <xdr:to>
          <xdr:col>12</xdr:col>
          <xdr:colOff>9525</xdr:colOff>
          <xdr:row>5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ПРИЛОЖЕНИЕ ДЛЯ</a:t>
              </a:r>
            </a:p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ОПЕРАТОРОВ ТАКСИ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9</xdr:row>
          <xdr:rowOff>76200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Таблицы "Заказы"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9</xdr:row>
          <xdr:rowOff>66675</xdr:rowOff>
        </xdr:from>
        <xdr:to>
          <xdr:col>11</xdr:col>
          <xdr:colOff>571500</xdr:colOff>
          <xdr:row>12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Таблицы "Водители"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66675</xdr:rowOff>
        </xdr:from>
        <xdr:to>
          <xdr:col>14</xdr:col>
          <xdr:colOff>533400</xdr:colOff>
          <xdr:row>12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Таблицы "Операторы"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9525</xdr:rowOff>
        </xdr:from>
        <xdr:to>
          <xdr:col>8</xdr:col>
          <xdr:colOff>28575</xdr:colOff>
          <xdr:row>20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1428750</xdr:colOff>
          <xdr:row>11</xdr:row>
          <xdr:rowOff>57150</xdr:rowOff>
        </xdr:from>
        <xdr:to>
          <xdr:col>5</xdr:col>
          <xdr:colOff>3181350</xdr:colOff>
          <xdr:row>14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9</xdr:row>
      <xdr:rowOff>47625</xdr:rowOff>
    </xdr:from>
    <xdr:to>
      <xdr:col>3</xdr:col>
      <xdr:colOff>1143000</xdr:colOff>
      <xdr:row>23</xdr:row>
      <xdr:rowOff>123825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180975</xdr:rowOff>
        </xdr:from>
        <xdr:to>
          <xdr:col>5</xdr:col>
          <xdr:colOff>904875</xdr:colOff>
          <xdr:row>7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142875</xdr:rowOff>
    </xdr:from>
    <xdr:to>
      <xdr:col>4</xdr:col>
      <xdr:colOff>161925</xdr:colOff>
      <xdr:row>20</xdr:row>
      <xdr:rowOff>28575</xdr:rowOff>
    </xdr:to>
    <xdr:graphicFrame macro="">
      <xdr:nvGraphicFramePr>
        <xdr:cNvPr id="2" name="ДиаграммаЗаказов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133350</xdr:rowOff>
        </xdr:from>
        <xdr:to>
          <xdr:col>5</xdr:col>
          <xdr:colOff>200025</xdr:colOff>
          <xdr:row>3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Рахметов Мади" refreshedDate="45049.447835416664" createdVersion="7" refreshedVersion="7" minRefreshableVersion="3" recordCount="71" xr:uid="{C8A47EE9-6CB1-417C-B1CE-CC9900F6C31F}">
  <cacheSource type="worksheet">
    <worksheetSource name="Orders"/>
  </cacheSource>
  <cacheFields count="7">
    <cacheField name="ID" numFmtId="0">
      <sharedItems containsSemiMixedTypes="0" containsString="0" containsNumber="1" containsInteger="1" minValue="1" maxValue="71"/>
    </cacheField>
    <cacheField name="Заказы на " numFmtId="14">
      <sharedItems containsDate="1" containsMixedTypes="1" minDate="2023-04-15T00:00:00" maxDate="2023-04-29T00:00:00"/>
    </cacheField>
    <cacheField name="Откуда-куда" numFmtId="0">
      <sharedItems/>
    </cacheField>
    <cacheField name="Клиент" numFmtId="0">
      <sharedItems/>
    </cacheField>
    <cacheField name="Исполнитель +авто" numFmtId="0">
      <sharedItems/>
    </cacheField>
    <cacheField name="Цена заказа" numFmtId="164">
      <sharedItems containsSemiMixedTypes="0" containsString="0" containsNumber="1" minValue="170" maxValue="1000"/>
    </cacheField>
    <cacheField name="Статус заказа" numFmtId="0">
      <sharedItems count="2">
        <s v="Выполнен"/>
        <s v="Отменен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n v="1"/>
    <d v="2023-04-15T00:00:00"/>
    <s v="Жамбыла, 5 - Пушкина,14"/>
    <s v="Чучман Артем"/>
    <s v="Оразкенов Олжас + ваз2114"/>
    <n v="570"/>
    <x v="0"/>
  </r>
  <r>
    <n v="2"/>
    <d v="2023-04-15T00:00:00"/>
    <s v="Муканова, 55 - Шухова, 18"/>
    <s v="Дейнеко Радмир"/>
    <s v="Мусин Уалихан + audi80"/>
    <n v="641"/>
    <x v="0"/>
  </r>
  <r>
    <n v="3"/>
    <d v="2023-04-15T00:00:00"/>
    <s v="Потанина, 6 - Потанина, 61А"/>
    <s v="Баян Азат"/>
    <s v="Головнев Владимир + lexus CT"/>
    <n v="700"/>
    <x v="0"/>
  </r>
  <r>
    <n v="4"/>
    <d v="2023-04-15T00:00:00"/>
    <s v="Сатпаева, 48 - Шухова, 18"/>
    <s v="Кенжеев Баян"/>
    <s v="Амангельдинов Султан + audi100"/>
    <n v="940"/>
    <x v="1"/>
  </r>
  <r>
    <n v="5"/>
    <d v="2023-04-15T00:00:00"/>
    <s v="Токсан би, 21Д - Сатпаева, 48"/>
    <s v="Маку Думан"/>
    <s v="Диас Даулетов + kia opirus"/>
    <n v="540"/>
    <x v="0"/>
  </r>
  <r>
    <n v="6"/>
    <d v="2023-04-15T00:00:00"/>
    <s v="Валиханова, 31 - Пушкина,14"/>
    <s v="Чупчиков Никата"/>
    <s v="Головнев Владимир + lexus CT"/>
    <n v="614"/>
    <x v="0"/>
  </r>
  <r>
    <n v="7"/>
    <d v="2023-04-15T00:00:00"/>
    <s v="Шухова, 18 - Жамбыла, 54"/>
    <s v="Тулинов Анатолий"/>
    <s v="Амангельдинов Султан + audi100"/>
    <n v="410"/>
    <x v="0"/>
  </r>
  <r>
    <n v="8"/>
    <d v="2023-04-15T00:00:00"/>
    <s v="Букетова, 53 -  Чкалова 48"/>
    <s v="Тотмянин Алекслей"/>
    <s v="Оразкенов Олжас + ваз2114"/>
    <n v="470"/>
    <x v="0"/>
  </r>
  <r>
    <n v="9"/>
    <d v="2023-04-16T00:00:00"/>
    <s v="Сатпаева, 48 - Муканова, 55"/>
    <s v="Зайкина Лаура"/>
    <s v="Головнев Владимир + lexus CT"/>
    <n v="640"/>
    <x v="1"/>
  </r>
  <r>
    <n v="10"/>
    <d v="2023-04-16T00:00:00"/>
    <s v=" Пушкина,14 - Букетова, 4"/>
    <s v="Чучман Артем"/>
    <s v="Амангельдинов Султан + audi100"/>
    <n v="841"/>
    <x v="0"/>
  </r>
  <r>
    <n v="11"/>
    <d v="2023-04-16T00:00:00"/>
    <s v="Потанина, 61 - Муканова, 5"/>
    <s v="Маку Думан"/>
    <s v="Оразкенов Олжас + ваз2114"/>
    <n v="600"/>
    <x v="0"/>
  </r>
  <r>
    <n v="12"/>
    <d v="2023-04-16T00:00:00"/>
    <s v="Интернационнальная, 9 -  Батыр Баяна, 7"/>
    <s v="Башенов Дидар"/>
    <s v="Амангельдинов Султан + audi100"/>
    <n v="510"/>
    <x v="0"/>
  </r>
  <r>
    <n v="13"/>
    <d v="2023-04-17T00:00:00"/>
    <s v="Потанина, 61 - Муканова, 5"/>
    <s v="Дейнеко Радмир"/>
    <s v="Головнев Владимир + lexus CT"/>
    <n v="1000"/>
    <x v="0"/>
  </r>
  <r>
    <n v="14"/>
    <d v="2023-04-18T00:00:00"/>
    <s v="Шухова, 18 - Жамбыла, 54"/>
    <s v="Тулинов Анатолий"/>
    <s v="Мусин Уалихан + audi80"/>
    <n v="950"/>
    <x v="0"/>
  </r>
  <r>
    <n v="15"/>
    <d v="2023-04-19T00:00:00"/>
    <s v="Потанина, 6 - Потанина, 61А"/>
    <s v="Кенжеев Баян"/>
    <s v="Диас Даулетов + kia opirus"/>
    <n v="400"/>
    <x v="1"/>
  </r>
  <r>
    <n v="16"/>
    <d v="2023-04-20T00:00:00"/>
    <s v="Шухова, 18 - Жамбыла, 55"/>
    <s v="Тулинов Анатолий"/>
    <s v="Мусин Уалихан + audi81"/>
    <n v="653.580952380952"/>
    <x v="0"/>
  </r>
  <r>
    <n v="17"/>
    <d v="2023-04-20T00:00:00"/>
    <s v="Жамбыла, 5 - Пушкина,15"/>
    <s v="Чучман Артем"/>
    <s v="Оразкенов Олжас + ваз2115"/>
    <n v="649.14523809523803"/>
    <x v="0"/>
  </r>
  <r>
    <n v="18"/>
    <d v="2023-04-20T00:00:00"/>
    <s v="Муканова, 55 - Шухова, 19"/>
    <s v="Дейнеко Радмир"/>
    <s v="Мусин Уалихан + audi81"/>
    <n v="644.70952380952394"/>
    <x v="0"/>
  </r>
  <r>
    <n v="19"/>
    <d v="2023-04-20T00:00:00"/>
    <s v="Потанина, 6 - Потанина, 61А"/>
    <s v="Баян Азат"/>
    <s v="Головнев Владимир + lexus CT"/>
    <n v="640.27380952380997"/>
    <x v="0"/>
  </r>
  <r>
    <n v="20"/>
    <d v="2023-04-21T00:00:00"/>
    <s v="Сатпаева, 48 - Шухова, 19"/>
    <s v="Кенжеев Баян"/>
    <s v="Амангельдинов Султан + audi101"/>
    <n v="635.83809523809498"/>
    <x v="1"/>
  </r>
  <r>
    <n v="21"/>
    <d v="2023-04-21T00:00:00"/>
    <s v="Токсан би, 21Д - Сатпаева, 49"/>
    <s v="Маку Думан"/>
    <s v="Диас Даулетов + kia opirus"/>
    <n v="631.40238095238101"/>
    <x v="0"/>
  </r>
  <r>
    <n v="22"/>
    <d v="2023-04-21T00:00:00"/>
    <s v="Валиханова, 31 - Пушкина,15"/>
    <s v="Чупчиков Никата"/>
    <s v="Головнев Владимир + lexus CT"/>
    <n v="626.96666666666704"/>
    <x v="0"/>
  </r>
  <r>
    <n v="23"/>
    <d v="2023-04-21T00:00:00"/>
    <s v="Шухова, 18 - Жамбыла, 55"/>
    <s v="Тулинов Анатолий"/>
    <s v="Амангельдинов Султан + audi101"/>
    <n v="622.53095238095204"/>
    <x v="0"/>
  </r>
  <r>
    <n v="24"/>
    <d v="2023-04-21T00:00:00"/>
    <s v="Букетова, 53 -  Чкалова 49"/>
    <s v="Тотмянин Алекслей"/>
    <s v="Оразкенов Олжас + ваз2115"/>
    <n v="618.09523809523796"/>
    <x v="0"/>
  </r>
  <r>
    <n v="25"/>
    <d v="2023-04-21T00:00:00"/>
    <s v="Сатпаева, 48 - Муканова, 56"/>
    <s v="Зайкина Лаура"/>
    <s v="Головнев Владимир + lexus CT"/>
    <n v="613.65952380952399"/>
    <x v="1"/>
  </r>
  <r>
    <n v="26"/>
    <d v="2023-04-21T00:00:00"/>
    <s v=" Пушкина,14 - Букетова, 5"/>
    <s v="Чучман Артем"/>
    <s v="Амангельдинов Султан + audi101"/>
    <n v="609.22380952381002"/>
    <x v="0"/>
  </r>
  <r>
    <n v="27"/>
    <d v="2023-04-22T00:00:00"/>
    <s v="Потанина, 61 - Муканова, 6"/>
    <s v="Маку Думан"/>
    <s v="Карим Алибек +  lada vesta"/>
    <n v="604.78809523809605"/>
    <x v="0"/>
  </r>
  <r>
    <n v="28"/>
    <d v="2023-04-22T00:00:00"/>
    <s v="Интернационнальная, 9 -  Батыр Баяна, 8"/>
    <s v="Башенов Дидар"/>
    <s v="Шамшит Ансаган + toyota alphard"/>
    <n v="600.35238095238105"/>
    <x v="0"/>
  </r>
  <r>
    <n v="29"/>
    <d v="2023-04-22T00:00:00"/>
    <s v="Потанина, 61 - Муканова, 6"/>
    <s v="Дейнеко Радмир"/>
    <s v="Марам Арсен + audi A6"/>
    <n v="540"/>
    <x v="0"/>
  </r>
  <r>
    <n v="30"/>
    <d v="2023-04-22T00:00:00"/>
    <s v="Шухова, 18 - Жамбыла, 55"/>
    <s v="Тулинов Анатолий"/>
    <s v="Мусин Уалихан + audi81"/>
    <n v="500"/>
    <x v="0"/>
  </r>
  <r>
    <n v="31"/>
    <d v="2023-04-22T00:00:00"/>
    <s v="Потанина, 6 - Потанина, 61А"/>
    <s v="Кенжеев Баян"/>
    <s v="Диас Даулетов + kia opirus"/>
    <n v="1000"/>
    <x v="1"/>
  </r>
  <r>
    <n v="32"/>
    <d v="2023-04-22T00:00:00"/>
    <s v="Шухова, 18 - Жамбыла, 56"/>
    <s v="Тулинов Анатолий"/>
    <s v="Мусин Уалихан + audi82"/>
    <n v="651"/>
    <x v="0"/>
  </r>
  <r>
    <n v="33"/>
    <d v="2023-04-22T00:00:00"/>
    <s v="Жамбыла, 5 - Пушкина,16"/>
    <s v="Чучман Артем"/>
    <s v="Оразкенов Олжас + ваз2116"/>
    <n v="651"/>
    <x v="0"/>
  </r>
  <r>
    <n v="34"/>
    <d v="2023-04-22T00:00:00"/>
    <s v="Муканова, 55 - Шухова, 20"/>
    <s v="Дейнеко Радмир"/>
    <s v="Мусин Уалихан + audi82"/>
    <n v="200"/>
    <x v="0"/>
  </r>
  <r>
    <n v="35"/>
    <d v="2023-04-22T00:00:00"/>
    <s v="Потанина, 6 - Потанина, 61А"/>
    <s v="Баян Азат"/>
    <s v="Головнев Владимир + lexus CT"/>
    <n v="800"/>
    <x v="0"/>
  </r>
  <r>
    <n v="36"/>
    <d v="2023-04-23T00:00:00"/>
    <s v="Сатпаева, 48 - Шухова, 20"/>
    <s v="Кенжеев Баян"/>
    <s v="Амангельдинов Султан + audi102"/>
    <n v="600"/>
    <x v="1"/>
  </r>
  <r>
    <n v="37"/>
    <d v="2023-04-23T00:00:00"/>
    <s v="Токсан би, 21Д - Сатпаева, 50"/>
    <s v="Маку Думан"/>
    <s v="Диас Даулетов + kia opirus"/>
    <n v="300"/>
    <x v="0"/>
  </r>
  <r>
    <n v="38"/>
    <d v="2023-04-23T00:00:00"/>
    <s v="Валиханова, 31 - Пушкина,16"/>
    <s v="Чупчиков Никата"/>
    <s v="Головнев Владимир + lexus CT"/>
    <n v="250"/>
    <x v="0"/>
  </r>
  <r>
    <n v="39"/>
    <d v="2023-04-23T00:00:00"/>
    <s v="Шухова, 18 - Жамбыла, 56"/>
    <s v="Тулинов Анатолий"/>
    <s v="Амангельдинов Султан + audi102"/>
    <n v="750"/>
    <x v="0"/>
  </r>
  <r>
    <n v="40"/>
    <d v="2023-04-23T00:00:00"/>
    <s v="Букетова, 53 -  Чкалова 50"/>
    <s v="Тотмянин Алекслей"/>
    <s v="Оразкенов Олжас + ваз2116"/>
    <n v="640"/>
    <x v="0"/>
  </r>
  <r>
    <n v="41"/>
    <d v="2023-04-23T00:00:00"/>
    <s v="Сатпаева, 48 - Муканова, 57"/>
    <s v="Зайкина Лаура"/>
    <s v="Карим Алибек +  lada vesta"/>
    <n v="650"/>
    <x v="1"/>
  </r>
  <r>
    <n v="42"/>
    <d v="2023-04-23T00:00:00"/>
    <s v=" Пушкина,14 - Букетова, 6"/>
    <s v="Чучман Артем"/>
    <s v="Шамшит Ансаган + toyota alphard"/>
    <n v="489"/>
    <x v="0"/>
  </r>
  <r>
    <n v="43"/>
    <d v="2023-04-23T00:00:00"/>
    <s v="Потанина, 61 - Муканова, 7"/>
    <s v="Маку Думан"/>
    <s v="Марам Арсен + audi A6"/>
    <n v="450"/>
    <x v="0"/>
  </r>
  <r>
    <n v="44"/>
    <d v="2023-04-23T00:00:00"/>
    <s v="Интернационнальная, 9 -  Батыр Баяна, 9"/>
    <s v="Башенов Дидар"/>
    <s v="Амангельдинов Султан + audi102"/>
    <n v="541"/>
    <x v="0"/>
  </r>
  <r>
    <n v="45"/>
    <d v="2023-04-23T00:00:00"/>
    <s v="Потанина, 61 - Муканова, 7"/>
    <s v="Дейнеко Радмир"/>
    <s v="Головнев Владимир + lexus CT"/>
    <n v="524.94523809523798"/>
    <x v="0"/>
  </r>
  <r>
    <n v="46"/>
    <d v="2023-04-24T00:00:00"/>
    <s v="Шухова, 18 - Жамбыла, 56"/>
    <s v="Тулинов Анатолий"/>
    <s v="Мусин Уалихан + audi82"/>
    <n v="520.50952380952401"/>
    <x v="0"/>
  </r>
  <r>
    <n v="47"/>
    <d v="2023-04-24T00:00:00"/>
    <s v="Потанина, 6 - Потанина, 61А"/>
    <s v="Кенжеев Баян"/>
    <s v="Карим Алибек +  lada vesta"/>
    <n v="804"/>
    <x v="1"/>
  </r>
  <r>
    <n v="48"/>
    <d v="2023-04-24T00:00:00"/>
    <s v="Шухова, 18 - Жамбыла, 57"/>
    <s v="Тулинов Анатолий"/>
    <s v="Шамшит Ансаган + toyota alphard"/>
    <n v="511.63809523809499"/>
    <x v="0"/>
  </r>
  <r>
    <n v="49"/>
    <d v="2023-04-24T00:00:00"/>
    <s v="Жамбыла, 5 - Пушкина,17"/>
    <s v="Чучман Артем"/>
    <s v="Марам Арсен + audi A6"/>
    <n v="507.20238095238102"/>
    <x v="0"/>
  </r>
  <r>
    <n v="50"/>
    <d v="2023-04-24T00:00:00"/>
    <s v="Муканова, 55 - Шухова, 21"/>
    <s v="Дейнеко Радмир"/>
    <s v="Мусин Уалихан + audi83"/>
    <n v="502.76666666666699"/>
    <x v="0"/>
  </r>
  <r>
    <n v="51"/>
    <d v="2023-04-24T00:00:00"/>
    <s v="Сатпаева, 48 - Шухова, 21"/>
    <s v="Кенжеев Баян"/>
    <s v="Амангельдинов Султан + audi103"/>
    <n v="493.89523809523803"/>
    <x v="1"/>
  </r>
  <r>
    <n v="52"/>
    <d v="2023-04-24T00:00:00"/>
    <s v="Токсан би, 21Д - Сатпаева, 51"/>
    <s v="Маку Думан"/>
    <s v="Диас Даулетов + kia opirus"/>
    <n v="489.459523809524"/>
    <x v="1"/>
  </r>
  <r>
    <n v="53"/>
    <d v="2023-04-25T00:00:00"/>
    <s v="Валиханова, 31 - Пушкина,17"/>
    <s v="Чупчиков Никата"/>
    <s v="Головнев Владимир + lexus CT"/>
    <n v="485.02380952380997"/>
    <x v="0"/>
  </r>
  <r>
    <n v="54"/>
    <d v="2023-04-25T00:00:00"/>
    <s v="Шухова, 18 - Жамбыла, 57"/>
    <s v="Тулинов Анатолий"/>
    <s v="Амангельдинов Султан + audi103"/>
    <n v="780"/>
    <x v="0"/>
  </r>
  <r>
    <n v="55"/>
    <d v="2023-04-25T00:00:00"/>
    <s v="Букетова, 53 -  Чкалова 51"/>
    <s v="Тотмянин Алекслей"/>
    <s v="Оразкенов Олжас + ваз2117"/>
    <n v="476.15238095238101"/>
    <x v="0"/>
  </r>
  <r>
    <n v="56"/>
    <d v="2023-04-25T00:00:00"/>
    <s v="Сатпаева, 48 - Муканова, 58"/>
    <s v="Зайкина Лаура"/>
    <s v="Карим Алибек +  lada vesta"/>
    <n v="471.71666666666698"/>
    <x v="1"/>
  </r>
  <r>
    <n v="57"/>
    <d v="2023-04-25T00:00:00"/>
    <s v=" Пушкина,14 - Букетова, 7"/>
    <s v="Чучман Артем"/>
    <s v="Шамшит Ансаган + toyota alphard"/>
    <n v="170"/>
    <x v="0"/>
  </r>
  <r>
    <n v="58"/>
    <d v="2023-04-25T00:00:00"/>
    <s v="Потанина, 61 - Муканова, 8"/>
    <s v="Маку Думан"/>
    <s v="Марам Арсен + audi A6"/>
    <n v="462.84523809523802"/>
    <x v="0"/>
  </r>
  <r>
    <n v="59"/>
    <d v="2023-04-26T00:00:00"/>
    <s v="Интернационнальная, 9 -  Батыр Баяна, 10"/>
    <s v="Башенов Дидар"/>
    <s v="Амангельдинов Султан + audi103"/>
    <n v="458.40952380952399"/>
    <x v="0"/>
  </r>
  <r>
    <n v="60"/>
    <d v="2023-04-26T00:00:00"/>
    <s v="Потанина, 61 - Муканова, 8"/>
    <s v="Дейнеко Радмир"/>
    <s v="Головнев Владимир + lexus CT"/>
    <n v="453.97380952381002"/>
    <x v="0"/>
  </r>
  <r>
    <n v="61"/>
    <d v="2023-04-26T00:00:00"/>
    <s v="Шухова, 18 - Жамбыла, 57"/>
    <s v="Тулинов Анатолий"/>
    <s v="Мусин Уалихан + audi83"/>
    <n v="449.53809523809502"/>
    <x v="0"/>
  </r>
  <r>
    <n v="62"/>
    <d v="2023-04-26T00:00:00"/>
    <s v="Потанина, 6 - Потанина, 61А"/>
    <s v="Кенжеев Баян"/>
    <s v="Диас Даулетов + kia opirus"/>
    <n v="445.102380952381"/>
    <x v="1"/>
  </r>
  <r>
    <n v="63"/>
    <d v="2023-04-27T00:00:00"/>
    <s v="Шухова, 18 - Жамбыла, 58"/>
    <s v="Тулинов Анатолий"/>
    <s v="Мусин Уалихан + audi84"/>
    <n v="710"/>
    <x v="0"/>
  </r>
  <r>
    <n v="64"/>
    <d v="2023-04-27T00:00:00"/>
    <s v="Жамбыла, 5 - Пушкина,18"/>
    <s v="Чучман Артем"/>
    <s v="Оразкенов Олжас + ваз2118"/>
    <n v="436.230952380953"/>
    <x v="0"/>
  </r>
  <r>
    <n v="65"/>
    <d v="2023-04-27T00:00:00"/>
    <s v="Муканова, 55 - Шухова, 22"/>
    <s v="Дейнеко Радмир"/>
    <s v="Мусин Уалихан + audi84"/>
    <n v="431.79523809523801"/>
    <x v="1"/>
  </r>
  <r>
    <n v="66"/>
    <d v="2023-04-27T00:00:00"/>
    <s v="Потанина, 6 - Потанина, 61А"/>
    <s v="Баян Азат"/>
    <s v="Головнев Владимир + lexus CT"/>
    <n v="760"/>
    <x v="0"/>
  </r>
  <r>
    <n v="67"/>
    <d v="2023-04-27T00:00:00"/>
    <s v="Сатпаева, 48 - Шухова, 22"/>
    <s v="Кенжеев Баян"/>
    <s v="Амангельдинов Султан + audi104"/>
    <n v="422.92380952381001"/>
    <x v="1"/>
  </r>
  <r>
    <n v="68"/>
    <d v="2023-04-28T00:00:00"/>
    <s v="Токсан би, 21Д - Сатпаева, 52"/>
    <s v="Маку Думан"/>
    <s v="Диас Даулетов + kia opirus"/>
    <n v="418.48809523809501"/>
    <x v="0"/>
  </r>
  <r>
    <n v="69"/>
    <d v="2023-04-28T00:00:00"/>
    <s v="Валиханова, 31 - Пушкина,18"/>
    <s v="Чупчиков Никата"/>
    <s v="Головнев Владимир + lexus CT"/>
    <n v="414.05238095238099"/>
    <x v="0"/>
  </r>
  <r>
    <n v="70"/>
    <d v="2023-04-28T00:00:00"/>
    <s v="Шухова, 18 - Жамбыла, 58"/>
    <s v="Тулинов Анатолий"/>
    <s v="Карим Алибек +  lada vesta"/>
    <n v="409"/>
    <x v="0"/>
  </r>
  <r>
    <n v="71"/>
    <s v="04.28.2023"/>
    <s v="Букетова, 53 -  Чкалова 52"/>
    <s v="Тотмянин Алекслей"/>
    <s v="Шамшит Ансаган + toyota alphard"/>
    <n v="40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F2F48-05C8-4BA1-ABD4-40169FF7BF85}" name="Сводная таблица5" cacheId="0" applyNumberFormats="0" applyBorderFormats="0" applyFontFormats="0" applyPatternFormats="0" applyAlignmentFormats="0" applyWidthHeightFormats="1" dataCaption="Значения" updatedVersion="7" minRefreshableVersion="3" useAutoFormatting="1" rowGrandTotals="0" colGrandTotals="0" itemPrintTitles="1" createdVersion="7" indent="0" compact="0" compactData="0" multipleFieldFilters="0" chartFormat="22">
  <location ref="A3:B5" firstHeaderRow="1" firstDataRow="1" firstDataCol="1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2">
    <i>
      <x/>
    </i>
    <i>
      <x v="1"/>
    </i>
  </rowItems>
  <colItems count="1">
    <i/>
  </colItems>
  <dataFields count="1">
    <dataField name="Количество по полю Статус заказа" fld="6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A4BA15-224D-4C25-B7A0-70689B1FE20F}" name="Orders" displayName="Orders" ref="A1:G72" totalsRowShown="0" headerRowDxfId="33" dataDxfId="31" headerRowBorderDxfId="32" tableBorderDxfId="30" totalsRowBorderDxfId="29">
  <autoFilter ref="A1:G72" xr:uid="{C3A4BA15-224D-4C25-B7A0-70689B1FE20F}"/>
  <tableColumns count="7">
    <tableColumn id="1" xr3:uid="{3D4D451D-FE45-4244-A7BD-C9FF659736CF}" name="ID" dataDxfId="28"/>
    <tableColumn id="2" xr3:uid="{D0DAC575-A3A4-45D7-9843-70FC7A08FD11}" name="Заказы на " dataDxfId="27"/>
    <tableColumn id="3" xr3:uid="{B2DCDF2E-FC51-47E5-BE98-61C87F1A027A}" name="Откуда-куда" dataDxfId="26"/>
    <tableColumn id="4" xr3:uid="{CC83D2C9-C355-423E-91F2-9136AFF2F427}" name="Клиент" dataDxfId="25"/>
    <tableColumn id="5" xr3:uid="{A3966CEB-C787-46C7-B49B-EE53EE0FF19F}" name="Исполнитель +авто" dataDxfId="24"/>
    <tableColumn id="6" xr3:uid="{2EBD966E-9082-426B-8CE0-5A75A8B653FD}" name="Цена заказа" dataDxfId="23"/>
    <tableColumn id="7" xr3:uid="{2176300D-AE79-4571-A03D-1F28DC8EF666}" name="Статус заказа" dataDxfId="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88991-53FC-4F99-92D5-9A94D6119CBF}" name="Drivers" displayName="Drivers" ref="A1:F9" totalsRowShown="0" headerRowDxfId="21" dataDxfId="19" headerRowBorderDxfId="20" tableBorderDxfId="18" totalsRowBorderDxfId="17">
  <autoFilter ref="A1:F9" xr:uid="{76A88991-53FC-4F99-92D5-9A94D6119CBF}"/>
  <tableColumns count="6">
    <tableColumn id="1" xr3:uid="{B2164F9F-CC39-46ED-BA45-3B8B82AF31ED}" name="ID" dataDxfId="16"/>
    <tableColumn id="2" xr3:uid="{5EACA8FA-68D6-4EF0-A512-DAE7B7E30DB3}" name="ФИ" dataDxfId="15"/>
    <tableColumn id="3" xr3:uid="{AC8F489E-C460-44A2-B424-B505D8B13164}" name="Номер телефона" dataDxfId="14"/>
    <tableColumn id="4" xr3:uid="{05982CF3-1B4E-4579-896C-4A02A6288476}" name="Номер автомобиля" dataDxfId="13"/>
    <tableColumn id="5" xr3:uid="{3CD223A2-EA65-4360-B8CE-9B70E07B804E}" name="Марка автомобиля" dataDxfId="12"/>
    <tableColumn id="6" xr3:uid="{4FCD709D-DA91-452F-B5A4-AADFB831E21E}" name="Количество выполненных заказов" dataDxfId="11">
      <calculatedColumnFormula>COUNTIFS(Заказы!E:E,"Мусин Уалихан + audi80",Заказы!G:G,"Выполнен")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F919C8-2543-45D7-9A6F-E2FE2B22D74B}" name="Operators" displayName="Operators" ref="A1:F3" totalsRowShown="0" headerRowDxfId="10" dataDxfId="8" headerRowBorderDxfId="9" tableBorderDxfId="7" totalsRowBorderDxfId="6">
  <autoFilter ref="A1:F3" xr:uid="{3CF919C8-2543-45D7-9A6F-E2FE2B22D74B}"/>
  <tableColumns count="6">
    <tableColumn id="1" xr3:uid="{9748F2DE-3C46-4273-8FE7-BC3476196F4D}" name="ID" dataDxfId="5"/>
    <tableColumn id="2" xr3:uid="{18145643-A2A8-463F-9B94-6AD1D1D03638}" name="ФИО" dataDxfId="4"/>
    <tableColumn id="3" xr3:uid="{13497D02-5B65-4F9E-B6B1-7EF63BB55D34}" name="Номер телефона" dataDxfId="3"/>
    <tableColumn id="4" xr3:uid="{3E07E6E9-865C-4894-AA2E-FBAF4CB68333}" name="ИИН" dataDxfId="2"/>
    <tableColumn id="5" xr3:uid="{EBDA68BF-7C11-4E08-B9B1-45A0FFD2FA2E}" name="login" dataDxfId="1"/>
    <tableColumn id="6" xr3:uid="{DFF0AE37-7DF7-4189-A045-A0A1B7BBCDA7}" name="password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22FC-ACAD-43D5-BBC4-B52DD72F44FF}">
  <sheetPr codeName="Лист2"/>
  <dimension ref="A1"/>
  <sheetViews>
    <sheetView showGridLines="0" tabSelected="1" zoomScaleNormal="100" workbookViewId="0">
      <selection activeCell="O6" sqref="O6"/>
    </sheetView>
  </sheetViews>
  <sheetFormatPr defaultRowHeight="15" x14ac:dyDescent="0.25"/>
  <cols>
    <col min="1" max="16384" width="9.140625" style="24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Opener">
                <anchor moveWithCells="1" sizeWithCells="1">
                  <from>
                    <xdr:col>9</xdr:col>
                    <xdr:colOff>9525</xdr:colOff>
                    <xdr:row>1</xdr:row>
                    <xdr:rowOff>114300</xdr:rowOff>
                  </from>
                  <to>
                    <xdr:col>12</xdr:col>
                    <xdr:colOff>9525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Заказы">
                <anchor moveWithCells="1" sizeWithCells="1">
                  <from>
                    <xdr:col>6</xdr:col>
                    <xdr:colOff>76200</xdr:colOff>
                    <xdr:row>9</xdr:row>
                    <xdr:rowOff>76200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Водители">
                <anchor moveWithCells="1" sizeWithCells="1">
                  <from>
                    <xdr:col>9</xdr:col>
                    <xdr:colOff>38100</xdr:colOff>
                    <xdr:row>9</xdr:row>
                    <xdr:rowOff>66675</xdr:rowOff>
                  </from>
                  <to>
                    <xdr:col>11</xdr:col>
                    <xdr:colOff>571500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Операторы">
                <anchor moveWithCells="1" sizeWithCells="1">
                  <from>
                    <xdr:col>12</xdr:col>
                    <xdr:colOff>0</xdr:colOff>
                    <xdr:row>9</xdr:row>
                    <xdr:rowOff>66675</xdr:rowOff>
                  </from>
                  <to>
                    <xdr:col>14</xdr:col>
                    <xdr:colOff>533400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72"/>
  <sheetViews>
    <sheetView topLeftCell="C1" zoomScaleNormal="100" workbookViewId="0">
      <selection activeCell="G1" sqref="G1:G1048576"/>
    </sheetView>
  </sheetViews>
  <sheetFormatPr defaultColWidth="9.140625" defaultRowHeight="18.75" x14ac:dyDescent="0.3"/>
  <cols>
    <col min="1" max="1" width="6.5703125" style="2" bestFit="1" customWidth="1"/>
    <col min="2" max="2" width="17.28515625" style="2" bestFit="1" customWidth="1"/>
    <col min="3" max="3" width="49.7109375" style="2" bestFit="1" customWidth="1"/>
    <col min="4" max="4" width="24.7109375" style="2" bestFit="1" customWidth="1"/>
    <col min="5" max="5" width="40.42578125" style="2" bestFit="1" customWidth="1"/>
    <col min="6" max="6" width="18.85546875" style="2" bestFit="1" customWidth="1"/>
    <col min="7" max="7" width="21.28515625" style="2" bestFit="1" customWidth="1"/>
    <col min="8" max="12" width="9.140625" style="2"/>
    <col min="13" max="13" width="15.5703125" style="2" bestFit="1" customWidth="1"/>
    <col min="14" max="16384" width="9.140625" style="2"/>
  </cols>
  <sheetData>
    <row r="1" spans="1:13" x14ac:dyDescent="0.3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10</v>
      </c>
      <c r="G1" s="9" t="s">
        <v>11</v>
      </c>
      <c r="H1" s="4"/>
    </row>
    <row r="2" spans="1:13" x14ac:dyDescent="0.3">
      <c r="A2" s="5">
        <v>1</v>
      </c>
      <c r="B2" s="11">
        <v>45031</v>
      </c>
      <c r="C2" s="1" t="s">
        <v>16</v>
      </c>
      <c r="D2" s="1" t="s">
        <v>15</v>
      </c>
      <c r="E2" s="1" t="s">
        <v>17</v>
      </c>
      <c r="F2" s="12">
        <v>570</v>
      </c>
      <c r="G2" s="6" t="s">
        <v>18</v>
      </c>
      <c r="H2" s="3"/>
    </row>
    <row r="3" spans="1:13" x14ac:dyDescent="0.3">
      <c r="A3" s="5">
        <f>A2+1</f>
        <v>2</v>
      </c>
      <c r="B3" s="11">
        <v>45031</v>
      </c>
      <c r="C3" s="1" t="s">
        <v>19</v>
      </c>
      <c r="D3" s="1" t="s">
        <v>20</v>
      </c>
      <c r="E3" s="1" t="s">
        <v>21</v>
      </c>
      <c r="F3" s="13">
        <v>641</v>
      </c>
      <c r="G3" s="6" t="s">
        <v>18</v>
      </c>
      <c r="H3" s="3"/>
    </row>
    <row r="4" spans="1:13" x14ac:dyDescent="0.3">
      <c r="A4" s="5">
        <f>A3+1</f>
        <v>3</v>
      </c>
      <c r="B4" s="11">
        <v>45031</v>
      </c>
      <c r="C4" s="1" t="s">
        <v>22</v>
      </c>
      <c r="D4" s="1" t="s">
        <v>23</v>
      </c>
      <c r="E4" s="1" t="s">
        <v>24</v>
      </c>
      <c r="F4" s="13">
        <v>700</v>
      </c>
      <c r="G4" s="6" t="s">
        <v>18</v>
      </c>
      <c r="H4" s="3"/>
    </row>
    <row r="5" spans="1:13" x14ac:dyDescent="0.3">
      <c r="A5" s="5">
        <f t="shared" ref="A5:A68" si="0">A4+1</f>
        <v>4</v>
      </c>
      <c r="B5" s="11">
        <v>45031</v>
      </c>
      <c r="C5" s="1" t="s">
        <v>25</v>
      </c>
      <c r="D5" s="1" t="s">
        <v>26</v>
      </c>
      <c r="E5" s="1" t="s">
        <v>27</v>
      </c>
      <c r="F5" s="13">
        <v>940</v>
      </c>
      <c r="G5" s="6" t="s">
        <v>28</v>
      </c>
      <c r="H5" s="3"/>
    </row>
    <row r="6" spans="1:13" x14ac:dyDescent="0.3">
      <c r="A6" s="5">
        <f t="shared" si="0"/>
        <v>5</v>
      </c>
      <c r="B6" s="11">
        <v>45031</v>
      </c>
      <c r="C6" s="1" t="s">
        <v>29</v>
      </c>
      <c r="D6" s="1" t="s">
        <v>30</v>
      </c>
      <c r="E6" s="1" t="s">
        <v>31</v>
      </c>
      <c r="F6" s="13">
        <v>540</v>
      </c>
      <c r="G6" s="6" t="s">
        <v>18</v>
      </c>
      <c r="H6" s="3"/>
    </row>
    <row r="7" spans="1:13" x14ac:dyDescent="0.3">
      <c r="A7" s="5">
        <f t="shared" si="0"/>
        <v>6</v>
      </c>
      <c r="B7" s="11">
        <v>45031</v>
      </c>
      <c r="C7" s="1" t="s">
        <v>32</v>
      </c>
      <c r="D7" s="1" t="s">
        <v>33</v>
      </c>
      <c r="E7" s="1" t="s">
        <v>24</v>
      </c>
      <c r="F7" s="13">
        <v>614</v>
      </c>
      <c r="G7" s="6" t="s">
        <v>18</v>
      </c>
      <c r="H7" s="3"/>
    </row>
    <row r="8" spans="1:13" x14ac:dyDescent="0.3">
      <c r="A8" s="5">
        <f t="shared" si="0"/>
        <v>7</v>
      </c>
      <c r="B8" s="11">
        <v>45031</v>
      </c>
      <c r="C8" s="1" t="s">
        <v>34</v>
      </c>
      <c r="D8" s="1" t="s">
        <v>35</v>
      </c>
      <c r="E8" s="1" t="s">
        <v>27</v>
      </c>
      <c r="F8" s="13">
        <v>410</v>
      </c>
      <c r="G8" s="6" t="s">
        <v>18</v>
      </c>
      <c r="H8" s="3"/>
    </row>
    <row r="9" spans="1:13" x14ac:dyDescent="0.3">
      <c r="A9" s="5">
        <f t="shared" si="0"/>
        <v>8</v>
      </c>
      <c r="B9" s="11">
        <v>45031</v>
      </c>
      <c r="C9" s="1" t="s">
        <v>36</v>
      </c>
      <c r="D9" s="1" t="s">
        <v>37</v>
      </c>
      <c r="E9" s="1" t="s">
        <v>17</v>
      </c>
      <c r="F9" s="13">
        <v>470</v>
      </c>
      <c r="G9" s="6" t="s">
        <v>18</v>
      </c>
      <c r="H9" s="3"/>
    </row>
    <row r="10" spans="1:13" x14ac:dyDescent="0.3">
      <c r="A10" s="5">
        <f t="shared" si="0"/>
        <v>9</v>
      </c>
      <c r="B10" s="11">
        <v>45032</v>
      </c>
      <c r="C10" s="1" t="s">
        <v>38</v>
      </c>
      <c r="D10" s="1" t="s">
        <v>39</v>
      </c>
      <c r="E10" s="1" t="s">
        <v>24</v>
      </c>
      <c r="F10" s="13">
        <v>640</v>
      </c>
      <c r="G10" s="6" t="s">
        <v>28</v>
      </c>
      <c r="H10" s="3"/>
    </row>
    <row r="11" spans="1:13" x14ac:dyDescent="0.3">
      <c r="A11" s="5">
        <f t="shared" si="0"/>
        <v>10</v>
      </c>
      <c r="B11" s="11">
        <v>45032</v>
      </c>
      <c r="C11" s="1" t="s">
        <v>40</v>
      </c>
      <c r="D11" s="1" t="s">
        <v>15</v>
      </c>
      <c r="E11" s="1" t="s">
        <v>27</v>
      </c>
      <c r="F11" s="13">
        <v>841</v>
      </c>
      <c r="G11" s="6" t="s">
        <v>18</v>
      </c>
      <c r="H11" s="3"/>
      <c r="M11" s="1" t="s">
        <v>127</v>
      </c>
    </row>
    <row r="12" spans="1:13" x14ac:dyDescent="0.3">
      <c r="A12" s="5">
        <f t="shared" si="0"/>
        <v>11</v>
      </c>
      <c r="B12" s="11">
        <v>45032</v>
      </c>
      <c r="C12" s="1" t="s">
        <v>41</v>
      </c>
      <c r="D12" s="1" t="s">
        <v>30</v>
      </c>
      <c r="E12" s="1" t="s">
        <v>17</v>
      </c>
      <c r="F12" s="13">
        <v>600</v>
      </c>
      <c r="G12" s="6" t="s">
        <v>18</v>
      </c>
      <c r="H12" s="3"/>
      <c r="M12" s="1">
        <f>SUM(F:F)</f>
        <v>40403.235714285722</v>
      </c>
    </row>
    <row r="13" spans="1:13" x14ac:dyDescent="0.3">
      <c r="A13" s="5">
        <f t="shared" si="0"/>
        <v>12</v>
      </c>
      <c r="B13" s="11">
        <v>45032</v>
      </c>
      <c r="C13" s="1" t="s">
        <v>42</v>
      </c>
      <c r="D13" s="1" t="s">
        <v>43</v>
      </c>
      <c r="E13" s="1" t="s">
        <v>27</v>
      </c>
      <c r="F13" s="13">
        <v>510</v>
      </c>
      <c r="G13" s="6" t="s">
        <v>18</v>
      </c>
      <c r="H13" s="3"/>
      <c r="M13" s="1">
        <f>COUNTIF(G:G, "Выполнен")</f>
        <v>55</v>
      </c>
    </row>
    <row r="14" spans="1:13" x14ac:dyDescent="0.3">
      <c r="A14" s="5">
        <f t="shared" si="0"/>
        <v>13</v>
      </c>
      <c r="B14" s="11">
        <v>45033</v>
      </c>
      <c r="C14" s="1" t="s">
        <v>41</v>
      </c>
      <c r="D14" s="1" t="s">
        <v>20</v>
      </c>
      <c r="E14" s="1" t="s">
        <v>24</v>
      </c>
      <c r="F14" s="13">
        <v>1000</v>
      </c>
      <c r="G14" s="6" t="s">
        <v>18</v>
      </c>
      <c r="H14" s="3"/>
    </row>
    <row r="15" spans="1:13" x14ac:dyDescent="0.3">
      <c r="A15" s="5">
        <f t="shared" si="0"/>
        <v>14</v>
      </c>
      <c r="B15" s="11">
        <v>45034</v>
      </c>
      <c r="C15" s="1" t="s">
        <v>34</v>
      </c>
      <c r="D15" s="1" t="s">
        <v>35</v>
      </c>
      <c r="E15" s="1" t="s">
        <v>21</v>
      </c>
      <c r="F15" s="13">
        <v>950</v>
      </c>
      <c r="G15" s="6" t="s">
        <v>18</v>
      </c>
      <c r="H15" s="3"/>
    </row>
    <row r="16" spans="1:13" x14ac:dyDescent="0.3">
      <c r="A16" s="5">
        <f t="shared" si="0"/>
        <v>15</v>
      </c>
      <c r="B16" s="11">
        <v>45035</v>
      </c>
      <c r="C16" s="1" t="s">
        <v>22</v>
      </c>
      <c r="D16" s="1" t="s">
        <v>26</v>
      </c>
      <c r="E16" s="1" t="s">
        <v>31</v>
      </c>
      <c r="F16" s="14">
        <v>400</v>
      </c>
      <c r="G16" s="10" t="s">
        <v>28</v>
      </c>
      <c r="H16" s="3"/>
    </row>
    <row r="17" spans="1:7" x14ac:dyDescent="0.3">
      <c r="A17" s="5">
        <f t="shared" si="0"/>
        <v>16</v>
      </c>
      <c r="B17" s="11">
        <v>45036</v>
      </c>
      <c r="C17" s="1" t="s">
        <v>62</v>
      </c>
      <c r="D17" s="1" t="s">
        <v>35</v>
      </c>
      <c r="E17" s="1" t="s">
        <v>63</v>
      </c>
      <c r="F17" s="12">
        <v>653.580952380952</v>
      </c>
      <c r="G17" s="6" t="s">
        <v>18</v>
      </c>
    </row>
    <row r="18" spans="1:7" x14ac:dyDescent="0.3">
      <c r="A18" s="5">
        <f t="shared" si="0"/>
        <v>17</v>
      </c>
      <c r="B18" s="11">
        <v>45036</v>
      </c>
      <c r="C18" s="1" t="s">
        <v>70</v>
      </c>
      <c r="D18" s="1" t="s">
        <v>15</v>
      </c>
      <c r="E18" s="1" t="s">
        <v>71</v>
      </c>
      <c r="F18" s="13">
        <v>649.14523809523803</v>
      </c>
      <c r="G18" s="6" t="s">
        <v>18</v>
      </c>
    </row>
    <row r="19" spans="1:7" x14ac:dyDescent="0.3">
      <c r="A19" s="5">
        <f t="shared" si="0"/>
        <v>18</v>
      </c>
      <c r="B19" s="11">
        <v>45036</v>
      </c>
      <c r="C19" s="1" t="s">
        <v>72</v>
      </c>
      <c r="D19" s="1" t="s">
        <v>20</v>
      </c>
      <c r="E19" s="1" t="s">
        <v>63</v>
      </c>
      <c r="F19" s="13">
        <v>644.70952380952394</v>
      </c>
      <c r="G19" s="6" t="s">
        <v>18</v>
      </c>
    </row>
    <row r="20" spans="1:7" x14ac:dyDescent="0.3">
      <c r="A20" s="5">
        <f t="shared" si="0"/>
        <v>19</v>
      </c>
      <c r="B20" s="11">
        <v>45036</v>
      </c>
      <c r="C20" s="1" t="s">
        <v>22</v>
      </c>
      <c r="D20" s="1" t="s">
        <v>23</v>
      </c>
      <c r="E20" s="1" t="s">
        <v>24</v>
      </c>
      <c r="F20" s="13">
        <v>640.27380952380997</v>
      </c>
      <c r="G20" s="6" t="s">
        <v>18</v>
      </c>
    </row>
    <row r="21" spans="1:7" x14ac:dyDescent="0.3">
      <c r="A21" s="5">
        <f t="shared" si="0"/>
        <v>20</v>
      </c>
      <c r="B21" s="11">
        <v>45037</v>
      </c>
      <c r="C21" s="1" t="s">
        <v>73</v>
      </c>
      <c r="D21" s="1" t="s">
        <v>26</v>
      </c>
      <c r="E21" s="1" t="s">
        <v>74</v>
      </c>
      <c r="F21" s="13">
        <v>635.83809523809498</v>
      </c>
      <c r="G21" s="6" t="s">
        <v>28</v>
      </c>
    </row>
    <row r="22" spans="1:7" x14ac:dyDescent="0.3">
      <c r="A22" s="5">
        <f t="shared" si="0"/>
        <v>21</v>
      </c>
      <c r="B22" s="11">
        <v>45037</v>
      </c>
      <c r="C22" s="1" t="s">
        <v>75</v>
      </c>
      <c r="D22" s="1" t="s">
        <v>30</v>
      </c>
      <c r="E22" s="1" t="s">
        <v>31</v>
      </c>
      <c r="F22" s="13">
        <v>631.40238095238101</v>
      </c>
      <c r="G22" s="6" t="s">
        <v>18</v>
      </c>
    </row>
    <row r="23" spans="1:7" x14ac:dyDescent="0.3">
      <c r="A23" s="5">
        <f t="shared" si="0"/>
        <v>22</v>
      </c>
      <c r="B23" s="11">
        <v>45037</v>
      </c>
      <c r="C23" s="1" t="s">
        <v>76</v>
      </c>
      <c r="D23" s="1" t="s">
        <v>33</v>
      </c>
      <c r="E23" s="1" t="s">
        <v>24</v>
      </c>
      <c r="F23" s="13">
        <v>626.96666666666704</v>
      </c>
      <c r="G23" s="6" t="s">
        <v>18</v>
      </c>
    </row>
    <row r="24" spans="1:7" x14ac:dyDescent="0.3">
      <c r="A24" s="5">
        <f t="shared" si="0"/>
        <v>23</v>
      </c>
      <c r="B24" s="11">
        <v>45037</v>
      </c>
      <c r="C24" s="1" t="s">
        <v>62</v>
      </c>
      <c r="D24" s="1" t="s">
        <v>35</v>
      </c>
      <c r="E24" s="1" t="s">
        <v>74</v>
      </c>
      <c r="F24" s="13">
        <v>622.53095238095204</v>
      </c>
      <c r="G24" s="6" t="s">
        <v>18</v>
      </c>
    </row>
    <row r="25" spans="1:7" x14ac:dyDescent="0.3">
      <c r="A25" s="5">
        <f t="shared" si="0"/>
        <v>24</v>
      </c>
      <c r="B25" s="11">
        <v>45037</v>
      </c>
      <c r="C25" s="1" t="s">
        <v>77</v>
      </c>
      <c r="D25" s="1" t="s">
        <v>37</v>
      </c>
      <c r="E25" s="1" t="s">
        <v>71</v>
      </c>
      <c r="F25" s="13">
        <v>618.09523809523796</v>
      </c>
      <c r="G25" s="6" t="s">
        <v>18</v>
      </c>
    </row>
    <row r="26" spans="1:7" x14ac:dyDescent="0.3">
      <c r="A26" s="5">
        <f t="shared" si="0"/>
        <v>25</v>
      </c>
      <c r="B26" s="11">
        <v>45037</v>
      </c>
      <c r="C26" s="1" t="s">
        <v>78</v>
      </c>
      <c r="D26" s="1" t="s">
        <v>39</v>
      </c>
      <c r="E26" s="1" t="s">
        <v>24</v>
      </c>
      <c r="F26" s="13">
        <v>613.65952380952399</v>
      </c>
      <c r="G26" s="6" t="s">
        <v>28</v>
      </c>
    </row>
    <row r="27" spans="1:7" x14ac:dyDescent="0.3">
      <c r="A27" s="5">
        <f t="shared" si="0"/>
        <v>26</v>
      </c>
      <c r="B27" s="11">
        <v>45037</v>
      </c>
      <c r="C27" s="1" t="s">
        <v>79</v>
      </c>
      <c r="D27" s="1" t="s">
        <v>15</v>
      </c>
      <c r="E27" s="1" t="s">
        <v>74</v>
      </c>
      <c r="F27" s="13">
        <v>609.22380952381002</v>
      </c>
      <c r="G27" s="6" t="s">
        <v>18</v>
      </c>
    </row>
    <row r="28" spans="1:7" x14ac:dyDescent="0.3">
      <c r="A28" s="5">
        <f t="shared" si="0"/>
        <v>27</v>
      </c>
      <c r="B28" s="11">
        <v>45038</v>
      </c>
      <c r="C28" s="1" t="s">
        <v>80</v>
      </c>
      <c r="D28" s="1" t="s">
        <v>30</v>
      </c>
      <c r="E28" s="1" t="s">
        <v>121</v>
      </c>
      <c r="F28" s="13">
        <v>604.78809523809605</v>
      </c>
      <c r="G28" s="6" t="s">
        <v>18</v>
      </c>
    </row>
    <row r="29" spans="1:7" x14ac:dyDescent="0.3">
      <c r="A29" s="5">
        <f t="shared" si="0"/>
        <v>28</v>
      </c>
      <c r="B29" s="11">
        <v>45038</v>
      </c>
      <c r="C29" s="1" t="s">
        <v>81</v>
      </c>
      <c r="D29" s="1" t="s">
        <v>43</v>
      </c>
      <c r="E29" s="23" t="s">
        <v>122</v>
      </c>
      <c r="F29" s="13">
        <v>600.35238095238105</v>
      </c>
      <c r="G29" s="6" t="s">
        <v>18</v>
      </c>
    </row>
    <row r="30" spans="1:7" x14ac:dyDescent="0.3">
      <c r="A30" s="5">
        <f t="shared" si="0"/>
        <v>29</v>
      </c>
      <c r="B30" s="11">
        <v>45038</v>
      </c>
      <c r="C30" s="1" t="s">
        <v>80</v>
      </c>
      <c r="D30" s="1" t="s">
        <v>20</v>
      </c>
      <c r="E30" s="1" t="s">
        <v>123</v>
      </c>
      <c r="F30" s="13">
        <v>540</v>
      </c>
      <c r="G30" s="6" t="s">
        <v>18</v>
      </c>
    </row>
    <row r="31" spans="1:7" x14ac:dyDescent="0.3">
      <c r="A31" s="5">
        <f t="shared" si="0"/>
        <v>30</v>
      </c>
      <c r="B31" s="11">
        <v>45038</v>
      </c>
      <c r="C31" s="1" t="s">
        <v>62</v>
      </c>
      <c r="D31" s="1" t="s">
        <v>35</v>
      </c>
      <c r="E31" s="1" t="s">
        <v>63</v>
      </c>
      <c r="F31" s="14">
        <v>500</v>
      </c>
      <c r="G31" s="6" t="s">
        <v>18</v>
      </c>
    </row>
    <row r="32" spans="1:7" x14ac:dyDescent="0.3">
      <c r="A32" s="5">
        <f t="shared" si="0"/>
        <v>31</v>
      </c>
      <c r="B32" s="11">
        <v>45038</v>
      </c>
      <c r="C32" s="1" t="s">
        <v>22</v>
      </c>
      <c r="D32" s="1" t="s">
        <v>26</v>
      </c>
      <c r="E32" s="1" t="s">
        <v>31</v>
      </c>
      <c r="F32" s="12">
        <v>1000</v>
      </c>
      <c r="G32" s="10" t="s">
        <v>28</v>
      </c>
    </row>
    <row r="33" spans="1:7" x14ac:dyDescent="0.3">
      <c r="A33" s="5">
        <f t="shared" si="0"/>
        <v>32</v>
      </c>
      <c r="B33" s="11">
        <v>45038</v>
      </c>
      <c r="C33" s="1" t="s">
        <v>64</v>
      </c>
      <c r="D33" s="1" t="s">
        <v>35</v>
      </c>
      <c r="E33" s="1" t="s">
        <v>65</v>
      </c>
      <c r="F33" s="13">
        <v>651</v>
      </c>
      <c r="G33" s="6" t="s">
        <v>18</v>
      </c>
    </row>
    <row r="34" spans="1:7" x14ac:dyDescent="0.3">
      <c r="A34" s="5">
        <f t="shared" si="0"/>
        <v>33</v>
      </c>
      <c r="B34" s="11">
        <v>45038</v>
      </c>
      <c r="C34" s="1" t="s">
        <v>82</v>
      </c>
      <c r="D34" s="1" t="s">
        <v>15</v>
      </c>
      <c r="E34" s="1" t="s">
        <v>83</v>
      </c>
      <c r="F34" s="13">
        <v>651</v>
      </c>
      <c r="G34" s="6" t="s">
        <v>18</v>
      </c>
    </row>
    <row r="35" spans="1:7" x14ac:dyDescent="0.3">
      <c r="A35" s="5">
        <f t="shared" si="0"/>
        <v>34</v>
      </c>
      <c r="B35" s="11">
        <v>45038</v>
      </c>
      <c r="C35" s="1" t="s">
        <v>84</v>
      </c>
      <c r="D35" s="1" t="s">
        <v>20</v>
      </c>
      <c r="E35" s="1" t="s">
        <v>65</v>
      </c>
      <c r="F35" s="13">
        <v>200</v>
      </c>
      <c r="G35" s="6" t="s">
        <v>18</v>
      </c>
    </row>
    <row r="36" spans="1:7" x14ac:dyDescent="0.3">
      <c r="A36" s="5">
        <f t="shared" si="0"/>
        <v>35</v>
      </c>
      <c r="B36" s="11">
        <v>45038</v>
      </c>
      <c r="C36" s="1" t="s">
        <v>22</v>
      </c>
      <c r="D36" s="1" t="s">
        <v>23</v>
      </c>
      <c r="E36" s="1" t="s">
        <v>24</v>
      </c>
      <c r="F36" s="13">
        <v>800</v>
      </c>
      <c r="G36" s="6" t="s">
        <v>18</v>
      </c>
    </row>
    <row r="37" spans="1:7" x14ac:dyDescent="0.3">
      <c r="A37" s="5">
        <f t="shared" si="0"/>
        <v>36</v>
      </c>
      <c r="B37" s="11">
        <v>45039</v>
      </c>
      <c r="C37" s="1" t="s">
        <v>85</v>
      </c>
      <c r="D37" s="1" t="s">
        <v>26</v>
      </c>
      <c r="E37" s="1" t="s">
        <v>86</v>
      </c>
      <c r="F37" s="13">
        <v>600</v>
      </c>
      <c r="G37" s="6" t="s">
        <v>28</v>
      </c>
    </row>
    <row r="38" spans="1:7" x14ac:dyDescent="0.3">
      <c r="A38" s="5">
        <f t="shared" si="0"/>
        <v>37</v>
      </c>
      <c r="B38" s="11">
        <v>45039</v>
      </c>
      <c r="C38" s="1" t="s">
        <v>87</v>
      </c>
      <c r="D38" s="1" t="s">
        <v>30</v>
      </c>
      <c r="E38" s="1" t="s">
        <v>31</v>
      </c>
      <c r="F38" s="13">
        <v>300</v>
      </c>
      <c r="G38" s="6" t="s">
        <v>18</v>
      </c>
    </row>
    <row r="39" spans="1:7" x14ac:dyDescent="0.3">
      <c r="A39" s="5">
        <f t="shared" si="0"/>
        <v>38</v>
      </c>
      <c r="B39" s="11">
        <v>45039</v>
      </c>
      <c r="C39" s="1" t="s">
        <v>88</v>
      </c>
      <c r="D39" s="1" t="s">
        <v>33</v>
      </c>
      <c r="E39" s="1" t="s">
        <v>24</v>
      </c>
      <c r="F39" s="13">
        <v>250</v>
      </c>
      <c r="G39" s="6" t="s">
        <v>18</v>
      </c>
    </row>
    <row r="40" spans="1:7" x14ac:dyDescent="0.3">
      <c r="A40" s="5">
        <f t="shared" si="0"/>
        <v>39</v>
      </c>
      <c r="B40" s="11">
        <v>45039</v>
      </c>
      <c r="C40" s="1" t="s">
        <v>64</v>
      </c>
      <c r="D40" s="1" t="s">
        <v>35</v>
      </c>
      <c r="E40" s="1" t="s">
        <v>86</v>
      </c>
      <c r="F40" s="13">
        <v>750</v>
      </c>
      <c r="G40" s="6" t="s">
        <v>18</v>
      </c>
    </row>
    <row r="41" spans="1:7" x14ac:dyDescent="0.3">
      <c r="A41" s="5">
        <f t="shared" si="0"/>
        <v>40</v>
      </c>
      <c r="B41" s="11">
        <v>45039</v>
      </c>
      <c r="C41" s="1" t="s">
        <v>89</v>
      </c>
      <c r="D41" s="1" t="s">
        <v>37</v>
      </c>
      <c r="E41" s="1" t="s">
        <v>83</v>
      </c>
      <c r="F41" s="13">
        <v>640</v>
      </c>
      <c r="G41" s="6" t="s">
        <v>18</v>
      </c>
    </row>
    <row r="42" spans="1:7" x14ac:dyDescent="0.3">
      <c r="A42" s="5">
        <f t="shared" si="0"/>
        <v>41</v>
      </c>
      <c r="B42" s="11">
        <v>45039</v>
      </c>
      <c r="C42" s="1" t="s">
        <v>90</v>
      </c>
      <c r="D42" s="1" t="s">
        <v>39</v>
      </c>
      <c r="E42" s="1" t="s">
        <v>121</v>
      </c>
      <c r="F42" s="13">
        <v>650</v>
      </c>
      <c r="G42" s="6" t="s">
        <v>28</v>
      </c>
    </row>
    <row r="43" spans="1:7" x14ac:dyDescent="0.3">
      <c r="A43" s="5">
        <f t="shared" si="0"/>
        <v>42</v>
      </c>
      <c r="B43" s="11">
        <v>45039</v>
      </c>
      <c r="C43" s="1" t="s">
        <v>91</v>
      </c>
      <c r="D43" s="1" t="s">
        <v>15</v>
      </c>
      <c r="E43" s="23" t="s">
        <v>122</v>
      </c>
      <c r="F43" s="13">
        <v>489</v>
      </c>
      <c r="G43" s="6" t="s">
        <v>18</v>
      </c>
    </row>
    <row r="44" spans="1:7" x14ac:dyDescent="0.3">
      <c r="A44" s="5">
        <f t="shared" si="0"/>
        <v>43</v>
      </c>
      <c r="B44" s="11">
        <v>45039</v>
      </c>
      <c r="C44" s="1" t="s">
        <v>92</v>
      </c>
      <c r="D44" s="1" t="s">
        <v>30</v>
      </c>
      <c r="E44" s="1" t="s">
        <v>123</v>
      </c>
      <c r="F44" s="13">
        <v>450</v>
      </c>
      <c r="G44" s="6" t="s">
        <v>18</v>
      </c>
    </row>
    <row r="45" spans="1:7" x14ac:dyDescent="0.3">
      <c r="A45" s="5">
        <f t="shared" si="0"/>
        <v>44</v>
      </c>
      <c r="B45" s="11">
        <v>45039</v>
      </c>
      <c r="C45" s="1" t="s">
        <v>93</v>
      </c>
      <c r="D45" s="1" t="s">
        <v>43</v>
      </c>
      <c r="E45" s="1" t="s">
        <v>86</v>
      </c>
      <c r="F45" s="13">
        <v>541</v>
      </c>
      <c r="G45" s="6" t="s">
        <v>18</v>
      </c>
    </row>
    <row r="46" spans="1:7" x14ac:dyDescent="0.3">
      <c r="A46" s="5">
        <f t="shared" si="0"/>
        <v>45</v>
      </c>
      <c r="B46" s="11">
        <v>45039</v>
      </c>
      <c r="C46" s="1" t="s">
        <v>92</v>
      </c>
      <c r="D46" s="1" t="s">
        <v>20</v>
      </c>
      <c r="E46" s="1" t="s">
        <v>24</v>
      </c>
      <c r="F46" s="14">
        <v>524.94523809523798</v>
      </c>
      <c r="G46" s="6" t="s">
        <v>18</v>
      </c>
    </row>
    <row r="47" spans="1:7" x14ac:dyDescent="0.3">
      <c r="A47" s="5">
        <f t="shared" si="0"/>
        <v>46</v>
      </c>
      <c r="B47" s="11">
        <v>45040</v>
      </c>
      <c r="C47" s="1" t="s">
        <v>64</v>
      </c>
      <c r="D47" s="1" t="s">
        <v>35</v>
      </c>
      <c r="E47" s="1" t="s">
        <v>65</v>
      </c>
      <c r="F47" s="12">
        <v>520.50952380952401</v>
      </c>
      <c r="G47" s="6" t="s">
        <v>18</v>
      </c>
    </row>
    <row r="48" spans="1:7" x14ac:dyDescent="0.3">
      <c r="A48" s="5">
        <v>47</v>
      </c>
      <c r="B48" s="11">
        <v>45040</v>
      </c>
      <c r="C48" s="1" t="s">
        <v>22</v>
      </c>
      <c r="D48" s="1" t="s">
        <v>26</v>
      </c>
      <c r="E48" s="1" t="s">
        <v>121</v>
      </c>
      <c r="F48" s="13">
        <v>804</v>
      </c>
      <c r="G48" s="10" t="s">
        <v>28</v>
      </c>
    </row>
    <row r="49" spans="1:7" x14ac:dyDescent="0.3">
      <c r="A49" s="5">
        <f t="shared" si="0"/>
        <v>48</v>
      </c>
      <c r="B49" s="11">
        <v>45040</v>
      </c>
      <c r="C49" s="1" t="s">
        <v>66</v>
      </c>
      <c r="D49" s="1" t="s">
        <v>35</v>
      </c>
      <c r="E49" s="23" t="s">
        <v>122</v>
      </c>
      <c r="F49" s="13">
        <v>511.63809523809499</v>
      </c>
      <c r="G49" s="6" t="s">
        <v>18</v>
      </c>
    </row>
    <row r="50" spans="1:7" x14ac:dyDescent="0.3">
      <c r="A50" s="5">
        <f t="shared" si="0"/>
        <v>49</v>
      </c>
      <c r="B50" s="11">
        <v>45040</v>
      </c>
      <c r="C50" s="1" t="s">
        <v>94</v>
      </c>
      <c r="D50" s="1" t="s">
        <v>15</v>
      </c>
      <c r="E50" s="1" t="s">
        <v>123</v>
      </c>
      <c r="F50" s="13">
        <v>507.20238095238102</v>
      </c>
      <c r="G50" s="6" t="s">
        <v>18</v>
      </c>
    </row>
    <row r="51" spans="1:7" x14ac:dyDescent="0.3">
      <c r="A51" s="5">
        <f t="shared" si="0"/>
        <v>50</v>
      </c>
      <c r="B51" s="11">
        <v>45040</v>
      </c>
      <c r="C51" s="1" t="s">
        <v>96</v>
      </c>
      <c r="D51" s="1" t="s">
        <v>20</v>
      </c>
      <c r="E51" s="1" t="s">
        <v>67</v>
      </c>
      <c r="F51" s="13">
        <v>502.76666666666699</v>
      </c>
      <c r="G51" s="6" t="s">
        <v>18</v>
      </c>
    </row>
    <row r="52" spans="1:7" x14ac:dyDescent="0.3">
      <c r="A52" s="5">
        <f t="shared" si="0"/>
        <v>51</v>
      </c>
      <c r="B52" s="11">
        <v>45040</v>
      </c>
      <c r="C52" s="1" t="s">
        <v>97</v>
      </c>
      <c r="D52" s="1" t="s">
        <v>26</v>
      </c>
      <c r="E52" s="1" t="s">
        <v>98</v>
      </c>
      <c r="F52" s="13">
        <v>493.89523809523803</v>
      </c>
      <c r="G52" s="6" t="s">
        <v>28</v>
      </c>
    </row>
    <row r="53" spans="1:7" x14ac:dyDescent="0.3">
      <c r="A53" s="5">
        <f t="shared" si="0"/>
        <v>52</v>
      </c>
      <c r="B53" s="11">
        <v>45040</v>
      </c>
      <c r="C53" s="1" t="s">
        <v>99</v>
      </c>
      <c r="D53" s="1" t="s">
        <v>30</v>
      </c>
      <c r="E53" s="1" t="s">
        <v>31</v>
      </c>
      <c r="F53" s="13">
        <v>489.459523809524</v>
      </c>
      <c r="G53" s="6" t="s">
        <v>28</v>
      </c>
    </row>
    <row r="54" spans="1:7" x14ac:dyDescent="0.3">
      <c r="A54" s="5">
        <f t="shared" si="0"/>
        <v>53</v>
      </c>
      <c r="B54" s="11">
        <v>45041</v>
      </c>
      <c r="C54" s="1" t="s">
        <v>100</v>
      </c>
      <c r="D54" s="1" t="s">
        <v>33</v>
      </c>
      <c r="E54" s="1" t="s">
        <v>24</v>
      </c>
      <c r="F54" s="13">
        <v>485.02380952380997</v>
      </c>
      <c r="G54" s="6" t="s">
        <v>18</v>
      </c>
    </row>
    <row r="55" spans="1:7" x14ac:dyDescent="0.3">
      <c r="A55" s="5">
        <f t="shared" si="0"/>
        <v>54</v>
      </c>
      <c r="B55" s="11">
        <v>45041</v>
      </c>
      <c r="C55" s="1" t="s">
        <v>66</v>
      </c>
      <c r="D55" s="1" t="s">
        <v>35</v>
      </c>
      <c r="E55" s="1" t="s">
        <v>98</v>
      </c>
      <c r="F55" s="13">
        <v>780</v>
      </c>
      <c r="G55" s="6" t="s">
        <v>18</v>
      </c>
    </row>
    <row r="56" spans="1:7" x14ac:dyDescent="0.3">
      <c r="A56" s="5">
        <f t="shared" si="0"/>
        <v>55</v>
      </c>
      <c r="B56" s="11">
        <v>45041</v>
      </c>
      <c r="C56" s="1" t="s">
        <v>101</v>
      </c>
      <c r="D56" s="1" t="s">
        <v>37</v>
      </c>
      <c r="E56" s="1" t="s">
        <v>95</v>
      </c>
      <c r="F56" s="13">
        <v>476.15238095238101</v>
      </c>
      <c r="G56" s="6" t="s">
        <v>18</v>
      </c>
    </row>
    <row r="57" spans="1:7" x14ac:dyDescent="0.3">
      <c r="A57" s="5">
        <f t="shared" si="0"/>
        <v>56</v>
      </c>
      <c r="B57" s="11">
        <v>45041</v>
      </c>
      <c r="C57" s="1" t="s">
        <v>102</v>
      </c>
      <c r="D57" s="1" t="s">
        <v>39</v>
      </c>
      <c r="E57" s="1" t="s">
        <v>121</v>
      </c>
      <c r="F57" s="13">
        <v>471.71666666666698</v>
      </c>
      <c r="G57" s="6" t="s">
        <v>28</v>
      </c>
    </row>
    <row r="58" spans="1:7" x14ac:dyDescent="0.3">
      <c r="A58" s="5">
        <f t="shared" si="0"/>
        <v>57</v>
      </c>
      <c r="B58" s="11">
        <v>45041</v>
      </c>
      <c r="C58" s="1" t="s">
        <v>103</v>
      </c>
      <c r="D58" s="1" t="s">
        <v>15</v>
      </c>
      <c r="E58" s="23" t="s">
        <v>122</v>
      </c>
      <c r="F58" s="13">
        <v>170</v>
      </c>
      <c r="G58" s="6" t="s">
        <v>18</v>
      </c>
    </row>
    <row r="59" spans="1:7" x14ac:dyDescent="0.3">
      <c r="A59" s="5">
        <f t="shared" si="0"/>
        <v>58</v>
      </c>
      <c r="B59" s="11">
        <v>45041</v>
      </c>
      <c r="C59" s="1" t="s">
        <v>104</v>
      </c>
      <c r="D59" s="1" t="s">
        <v>30</v>
      </c>
      <c r="E59" s="1" t="s">
        <v>123</v>
      </c>
      <c r="F59" s="13">
        <v>462.84523809523802</v>
      </c>
      <c r="G59" s="6" t="s">
        <v>18</v>
      </c>
    </row>
    <row r="60" spans="1:7" x14ac:dyDescent="0.3">
      <c r="A60" s="5">
        <f t="shared" si="0"/>
        <v>59</v>
      </c>
      <c r="B60" s="11">
        <v>45042</v>
      </c>
      <c r="C60" s="1" t="s">
        <v>105</v>
      </c>
      <c r="D60" s="1" t="s">
        <v>43</v>
      </c>
      <c r="E60" s="1" t="s">
        <v>98</v>
      </c>
      <c r="F60" s="14">
        <v>458.40952380952399</v>
      </c>
      <c r="G60" s="6" t="s">
        <v>18</v>
      </c>
    </row>
    <row r="61" spans="1:7" x14ac:dyDescent="0.3">
      <c r="A61" s="5">
        <f t="shared" si="0"/>
        <v>60</v>
      </c>
      <c r="B61" s="11">
        <v>45042</v>
      </c>
      <c r="C61" s="1" t="s">
        <v>104</v>
      </c>
      <c r="D61" s="1" t="s">
        <v>20</v>
      </c>
      <c r="E61" s="1" t="s">
        <v>24</v>
      </c>
      <c r="F61" s="12">
        <v>453.97380952381002</v>
      </c>
      <c r="G61" s="6" t="s">
        <v>18</v>
      </c>
    </row>
    <row r="62" spans="1:7" x14ac:dyDescent="0.3">
      <c r="A62" s="5">
        <f t="shared" si="0"/>
        <v>61</v>
      </c>
      <c r="B62" s="11">
        <v>45042</v>
      </c>
      <c r="C62" s="1" t="s">
        <v>66</v>
      </c>
      <c r="D62" s="1" t="s">
        <v>35</v>
      </c>
      <c r="E62" s="1" t="s">
        <v>67</v>
      </c>
      <c r="F62" s="13">
        <v>449.53809523809502</v>
      </c>
      <c r="G62" s="6" t="s">
        <v>18</v>
      </c>
    </row>
    <row r="63" spans="1:7" x14ac:dyDescent="0.3">
      <c r="A63" s="5">
        <f t="shared" si="0"/>
        <v>62</v>
      </c>
      <c r="B63" s="11">
        <v>45042</v>
      </c>
      <c r="C63" s="1" t="s">
        <v>22</v>
      </c>
      <c r="D63" s="1" t="s">
        <v>26</v>
      </c>
      <c r="E63" s="1" t="s">
        <v>31</v>
      </c>
      <c r="F63" s="13">
        <v>445.102380952381</v>
      </c>
      <c r="G63" s="10" t="s">
        <v>28</v>
      </c>
    </row>
    <row r="64" spans="1:7" x14ac:dyDescent="0.3">
      <c r="A64" s="5">
        <f t="shared" si="0"/>
        <v>63</v>
      </c>
      <c r="B64" s="11">
        <v>45043</v>
      </c>
      <c r="C64" s="1" t="s">
        <v>68</v>
      </c>
      <c r="D64" s="1" t="s">
        <v>35</v>
      </c>
      <c r="E64" s="1" t="s">
        <v>69</v>
      </c>
      <c r="F64" s="13">
        <v>710</v>
      </c>
      <c r="G64" s="6" t="s">
        <v>18</v>
      </c>
    </row>
    <row r="65" spans="1:7" x14ac:dyDescent="0.3">
      <c r="A65" s="5">
        <f t="shared" si="0"/>
        <v>64</v>
      </c>
      <c r="B65" s="11">
        <v>45043</v>
      </c>
      <c r="C65" s="1" t="s">
        <v>106</v>
      </c>
      <c r="D65" s="1" t="s">
        <v>15</v>
      </c>
      <c r="E65" s="1" t="s">
        <v>107</v>
      </c>
      <c r="F65" s="13">
        <v>436.230952380953</v>
      </c>
      <c r="G65" s="6" t="s">
        <v>18</v>
      </c>
    </row>
    <row r="66" spans="1:7" x14ac:dyDescent="0.3">
      <c r="A66" s="5">
        <f t="shared" si="0"/>
        <v>65</v>
      </c>
      <c r="B66" s="11">
        <v>45043</v>
      </c>
      <c r="C66" s="1" t="s">
        <v>108</v>
      </c>
      <c r="D66" s="1" t="s">
        <v>20</v>
      </c>
      <c r="E66" s="1" t="s">
        <v>69</v>
      </c>
      <c r="F66" s="13">
        <v>431.79523809523801</v>
      </c>
      <c r="G66" s="6" t="s">
        <v>28</v>
      </c>
    </row>
    <row r="67" spans="1:7" x14ac:dyDescent="0.3">
      <c r="A67" s="5">
        <f t="shared" si="0"/>
        <v>66</v>
      </c>
      <c r="B67" s="11">
        <v>45043</v>
      </c>
      <c r="C67" s="1" t="s">
        <v>22</v>
      </c>
      <c r="D67" s="1" t="s">
        <v>23</v>
      </c>
      <c r="E67" s="1" t="s">
        <v>24</v>
      </c>
      <c r="F67" s="13">
        <v>760</v>
      </c>
      <c r="G67" s="6" t="s">
        <v>18</v>
      </c>
    </row>
    <row r="68" spans="1:7" x14ac:dyDescent="0.3">
      <c r="A68" s="5">
        <f t="shared" si="0"/>
        <v>67</v>
      </c>
      <c r="B68" s="11">
        <v>45043</v>
      </c>
      <c r="C68" s="1" t="s">
        <v>109</v>
      </c>
      <c r="D68" s="1" t="s">
        <v>26</v>
      </c>
      <c r="E68" s="1" t="s">
        <v>110</v>
      </c>
      <c r="F68" s="13">
        <v>422.92380952381001</v>
      </c>
      <c r="G68" s="6" t="s">
        <v>28</v>
      </c>
    </row>
    <row r="69" spans="1:7" x14ac:dyDescent="0.3">
      <c r="A69" s="5">
        <f t="shared" ref="A69:A71" si="1">A68+1</f>
        <v>68</v>
      </c>
      <c r="B69" s="11">
        <v>45044</v>
      </c>
      <c r="C69" s="1" t="s">
        <v>111</v>
      </c>
      <c r="D69" s="1" t="s">
        <v>30</v>
      </c>
      <c r="E69" s="1" t="s">
        <v>31</v>
      </c>
      <c r="F69" s="13">
        <v>418.48809523809501</v>
      </c>
      <c r="G69" s="6" t="s">
        <v>18</v>
      </c>
    </row>
    <row r="70" spans="1:7" x14ac:dyDescent="0.3">
      <c r="A70" s="5">
        <f t="shared" si="1"/>
        <v>69</v>
      </c>
      <c r="B70" s="11">
        <v>45044</v>
      </c>
      <c r="C70" s="1" t="s">
        <v>112</v>
      </c>
      <c r="D70" s="1" t="s">
        <v>33</v>
      </c>
      <c r="E70" s="1" t="s">
        <v>24</v>
      </c>
      <c r="F70" s="13">
        <v>414.05238095238099</v>
      </c>
      <c r="G70" s="6" t="s">
        <v>18</v>
      </c>
    </row>
    <row r="71" spans="1:7" x14ac:dyDescent="0.3">
      <c r="A71" s="5">
        <f t="shared" si="1"/>
        <v>70</v>
      </c>
      <c r="B71" s="11">
        <v>45044</v>
      </c>
      <c r="C71" s="1" t="s">
        <v>68</v>
      </c>
      <c r="D71" s="1" t="s">
        <v>35</v>
      </c>
      <c r="E71" s="1" t="s">
        <v>121</v>
      </c>
      <c r="F71" s="13">
        <v>409</v>
      </c>
      <c r="G71" s="6" t="s">
        <v>18</v>
      </c>
    </row>
    <row r="72" spans="1:7" x14ac:dyDescent="0.3">
      <c r="A72" s="5">
        <v>71</v>
      </c>
      <c r="B72" s="11" t="s">
        <v>129</v>
      </c>
      <c r="C72" s="1" t="s">
        <v>113</v>
      </c>
      <c r="D72" s="1" t="s">
        <v>37</v>
      </c>
      <c r="E72" s="23" t="s">
        <v>122</v>
      </c>
      <c r="F72" s="13">
        <v>405</v>
      </c>
      <c r="G72" s="6" t="s">
        <v>28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Назад">
                <anchor moveWithCells="1" sizeWithCells="1">
                  <from>
                    <xdr:col>7</xdr:col>
                    <xdr:colOff>19050</xdr:colOff>
                    <xdr:row>0</xdr:row>
                    <xdr:rowOff>9525</xdr:rowOff>
                  </from>
                  <to>
                    <xdr:col>8</xdr:col>
                    <xdr:colOff>28575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4CC1F-F8D1-4E32-A33F-1C2BF3DB8021}">
  <sheetPr codeName="Лист3"/>
  <dimension ref="A1:F9"/>
  <sheetViews>
    <sheetView workbookViewId="0">
      <selection activeCell="F26" sqref="F26"/>
    </sheetView>
  </sheetViews>
  <sheetFormatPr defaultRowHeight="15" x14ac:dyDescent="0.25"/>
  <cols>
    <col min="1" max="1" width="6.140625" bestFit="1" customWidth="1"/>
    <col min="2" max="2" width="28" bestFit="1" customWidth="1"/>
    <col min="3" max="3" width="23.5703125" bestFit="1" customWidth="1"/>
    <col min="4" max="4" width="25.28515625" customWidth="1"/>
    <col min="5" max="5" width="26.28515625" bestFit="1" customWidth="1"/>
    <col min="6" max="6" width="48.140625" bestFit="1" customWidth="1"/>
  </cols>
  <sheetData>
    <row r="1" spans="1:6" ht="18.75" x14ac:dyDescent="0.3">
      <c r="A1" s="19" t="s">
        <v>0</v>
      </c>
      <c r="B1" s="20" t="s">
        <v>14</v>
      </c>
      <c r="C1" s="20" t="s">
        <v>6</v>
      </c>
      <c r="D1" s="20" t="s">
        <v>7</v>
      </c>
      <c r="E1" s="20" t="s">
        <v>8</v>
      </c>
      <c r="F1" s="22" t="s">
        <v>128</v>
      </c>
    </row>
    <row r="2" spans="1:6" ht="18.75" x14ac:dyDescent="0.3">
      <c r="A2" s="5">
        <v>1</v>
      </c>
      <c r="B2" s="15" t="s">
        <v>13</v>
      </c>
      <c r="C2" s="1">
        <v>87474107744</v>
      </c>
      <c r="D2" s="1" t="s">
        <v>44</v>
      </c>
      <c r="E2" s="1" t="s">
        <v>118</v>
      </c>
      <c r="F2" s="6">
        <v>3</v>
      </c>
    </row>
    <row r="3" spans="1:6" ht="18.75" x14ac:dyDescent="0.3">
      <c r="A3" s="5">
        <v>2</v>
      </c>
      <c r="B3" s="1" t="s">
        <v>45</v>
      </c>
      <c r="C3" s="1">
        <v>87771114171</v>
      </c>
      <c r="D3" s="1" t="s">
        <v>46</v>
      </c>
      <c r="E3" s="1" t="s">
        <v>47</v>
      </c>
      <c r="F3" s="6">
        <f>COUNTIFS(Заказы!E:E,"Мусин Уалихан + audi80",Заказы!G:G,"Выполнен")</f>
        <v>2</v>
      </c>
    </row>
    <row r="4" spans="1:6" ht="18.75" x14ac:dyDescent="0.3">
      <c r="A4" s="5">
        <v>3</v>
      </c>
      <c r="B4" s="15" t="s">
        <v>48</v>
      </c>
      <c r="C4" s="1">
        <v>87064265232</v>
      </c>
      <c r="D4" s="1" t="s">
        <v>49</v>
      </c>
      <c r="E4" s="1" t="s">
        <v>50</v>
      </c>
      <c r="F4" s="6">
        <f>COUNTIFS(Заказы!E:E,"Головнев Владимир + lexus CT",Заказы!G:G,"Выполнен")</f>
        <v>12</v>
      </c>
    </row>
    <row r="5" spans="1:6" ht="18.75" x14ac:dyDescent="0.3">
      <c r="A5" s="5">
        <v>4</v>
      </c>
      <c r="B5" s="1" t="s">
        <v>51</v>
      </c>
      <c r="C5" s="1">
        <v>87074101476</v>
      </c>
      <c r="D5" s="1" t="s">
        <v>52</v>
      </c>
      <c r="E5" s="1" t="s">
        <v>53</v>
      </c>
      <c r="F5" s="6">
        <f>COUNTIFS(Заказы!E:E,"Амангельдинов Султан + audi100",Заказы!G:G,"Выполнен")</f>
        <v>3</v>
      </c>
    </row>
    <row r="6" spans="1:6" ht="18.75" x14ac:dyDescent="0.3">
      <c r="A6" s="17">
        <v>5</v>
      </c>
      <c r="B6" s="23" t="s">
        <v>54</v>
      </c>
      <c r="C6" s="18">
        <v>87479878797</v>
      </c>
      <c r="D6" s="18" t="s">
        <v>55</v>
      </c>
      <c r="E6" s="18" t="s">
        <v>56</v>
      </c>
      <c r="F6" s="6">
        <f>COUNTIFS(Заказы!E:E,"Диас Даулетов + kia opirus",Заказы!G:G,"Выполнен")</f>
        <v>4</v>
      </c>
    </row>
    <row r="7" spans="1:6" ht="18.75" x14ac:dyDescent="0.3">
      <c r="A7" s="5">
        <v>6</v>
      </c>
      <c r="B7" s="1" t="s">
        <v>124</v>
      </c>
      <c r="C7" s="1">
        <v>87074101487</v>
      </c>
      <c r="D7" s="1" t="s">
        <v>114</v>
      </c>
      <c r="E7" s="1" t="s">
        <v>117</v>
      </c>
      <c r="F7" s="6">
        <f>COUNTIFS(Заказы!E:E,"Карим Алибек +  lada vesta",Заказы!G:G,"Выполнен")</f>
        <v>2</v>
      </c>
    </row>
    <row r="8" spans="1:6" ht="18.75" x14ac:dyDescent="0.3">
      <c r="A8" s="17">
        <v>7</v>
      </c>
      <c r="B8" s="23" t="s">
        <v>125</v>
      </c>
      <c r="C8" s="1">
        <v>87474104711</v>
      </c>
      <c r="D8" s="18" t="s">
        <v>116</v>
      </c>
      <c r="E8" s="18" t="s">
        <v>120</v>
      </c>
      <c r="F8" s="6">
        <f>COUNTIFS(Заказы!E:E,"Шамшит Ансаган + toyota alphard",Заказы!G:G,"Выполнен")</f>
        <v>4</v>
      </c>
    </row>
    <row r="9" spans="1:6" ht="18.75" x14ac:dyDescent="0.3">
      <c r="A9" s="5">
        <v>8</v>
      </c>
      <c r="B9" s="1" t="s">
        <v>126</v>
      </c>
      <c r="C9" s="1">
        <v>87064152111</v>
      </c>
      <c r="D9" s="1" t="s">
        <v>115</v>
      </c>
      <c r="E9" s="1" t="s">
        <v>119</v>
      </c>
      <c r="F9" s="6">
        <f>COUNTIFS(Заказы!E:E,"Марам Арсен + audi A6",Заказы!G:G,"Выполнен")</f>
        <v>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Назад">
                <anchor moveWithCells="1" sizeWithCells="1">
                  <from>
                    <xdr:col>5</xdr:col>
                    <xdr:colOff>1428750</xdr:colOff>
                    <xdr:row>11</xdr:row>
                    <xdr:rowOff>57150</xdr:rowOff>
                  </from>
                  <to>
                    <xdr:col>5</xdr:col>
                    <xdr:colOff>3181350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6969C-D922-4B52-9DF9-3AD889DACD1B}">
  <sheetPr codeName="Лист4"/>
  <dimension ref="A1:F3"/>
  <sheetViews>
    <sheetView workbookViewId="0">
      <selection activeCell="G13" sqref="G13"/>
    </sheetView>
  </sheetViews>
  <sheetFormatPr defaultRowHeight="15" x14ac:dyDescent="0.25"/>
  <cols>
    <col min="1" max="1" width="6.28515625" bestFit="1" customWidth="1"/>
    <col min="2" max="2" width="31.7109375" bestFit="1" customWidth="1"/>
    <col min="3" max="3" width="23.140625" bestFit="1" customWidth="1"/>
    <col min="4" max="4" width="18.85546875" bestFit="1" customWidth="1"/>
    <col min="5" max="5" width="13.42578125" customWidth="1"/>
    <col min="6" max="6" width="13.85546875" bestFit="1" customWidth="1"/>
  </cols>
  <sheetData>
    <row r="1" spans="1:6" ht="18.75" x14ac:dyDescent="0.3">
      <c r="A1" s="20" t="s">
        <v>0</v>
      </c>
      <c r="B1" s="20" t="s">
        <v>5</v>
      </c>
      <c r="C1" s="20" t="s">
        <v>6</v>
      </c>
      <c r="D1" s="20" t="s">
        <v>9</v>
      </c>
      <c r="E1" s="21" t="s">
        <v>58</v>
      </c>
      <c r="F1" s="21" t="s">
        <v>59</v>
      </c>
    </row>
    <row r="2" spans="1:6" ht="18.75" x14ac:dyDescent="0.3">
      <c r="A2" s="19">
        <v>1</v>
      </c>
      <c r="B2" s="20" t="s">
        <v>12</v>
      </c>
      <c r="C2" s="20">
        <v>87078542120</v>
      </c>
      <c r="D2" s="20">
        <v>21205550446</v>
      </c>
      <c r="E2" s="22" t="s">
        <v>60</v>
      </c>
      <c r="F2" s="1">
        <v>123</v>
      </c>
    </row>
    <row r="3" spans="1:6" ht="18.75" x14ac:dyDescent="0.3">
      <c r="A3" s="5">
        <v>2</v>
      </c>
      <c r="B3" s="1" t="s">
        <v>57</v>
      </c>
      <c r="C3" s="1">
        <v>87471924469</v>
      </c>
      <c r="D3" s="16">
        <v>21040104455</v>
      </c>
      <c r="E3" s="6" t="s">
        <v>61</v>
      </c>
      <c r="F3" s="1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Назад">
                <anchor moveWithCells="1" sizeWithCells="1">
                  <from>
                    <xdr:col>4</xdr:col>
                    <xdr:colOff>47625</xdr:colOff>
                    <xdr:row>3</xdr:row>
                    <xdr:rowOff>180975</xdr:rowOff>
                  </from>
                  <to>
                    <xdr:col>5</xdr:col>
                    <xdr:colOff>904875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9329-818B-48C6-8467-53A409D93BCC}">
  <sheetPr codeName="Лист5"/>
  <dimension ref="A3:B5"/>
  <sheetViews>
    <sheetView workbookViewId="0">
      <selection activeCell="H19" sqref="H19"/>
    </sheetView>
  </sheetViews>
  <sheetFormatPr defaultRowHeight="15" x14ac:dyDescent="0.25"/>
  <cols>
    <col min="1" max="1" width="15.140625" bestFit="1" customWidth="1"/>
    <col min="2" max="2" width="32.7109375" bestFit="1" customWidth="1"/>
  </cols>
  <sheetData>
    <row r="3" spans="1:2" x14ac:dyDescent="0.25">
      <c r="A3" s="25" t="s">
        <v>11</v>
      </c>
      <c r="B3" t="s">
        <v>130</v>
      </c>
    </row>
    <row r="4" spans="1:2" x14ac:dyDescent="0.25">
      <c r="A4" t="s">
        <v>18</v>
      </c>
      <c r="B4" s="26">
        <v>55</v>
      </c>
    </row>
    <row r="5" spans="1:2" x14ac:dyDescent="0.25">
      <c r="A5" t="s">
        <v>28</v>
      </c>
      <c r="B5" s="26">
        <v>16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Назад">
                <anchor moveWithCells="1" sizeWithCells="1">
                  <from>
                    <xdr:col>2</xdr:col>
                    <xdr:colOff>276225</xdr:colOff>
                    <xdr:row>0</xdr:row>
                    <xdr:rowOff>133350</xdr:rowOff>
                  </from>
                  <to>
                    <xdr:col>5</xdr:col>
                    <xdr:colOff>200025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753695-8CF9-46B6-B861-5F37E9D6A1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Главная страницы</vt:lpstr>
      <vt:lpstr>Заказы</vt:lpstr>
      <vt:lpstr>Водители</vt:lpstr>
      <vt:lpstr>Операторы</vt:lpstr>
      <vt:lpstr>Диаграмма заказов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Рахметов Мади</dc:creator>
  <cp:lastModifiedBy>Рахметов Мади</cp:lastModifiedBy>
  <dcterms:created xsi:type="dcterms:W3CDTF">2015-06-05T18:19:34Z</dcterms:created>
  <dcterms:modified xsi:type="dcterms:W3CDTF">2023-05-03T15:50:22Z</dcterms:modified>
</cp:coreProperties>
</file>